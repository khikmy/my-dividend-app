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配当金単価推移" sheetId="1" r:id="rId5"/>
    <sheet state="visible" name="年間配当金総額" sheetId="2" r:id="rId6"/>
    <sheet state="visible" name="配当金履歴一覧" sheetId="3" r:id="rId7"/>
    <sheet state="visible" name="配当金履歴一覧 のコピー" sheetId="4" r:id="rId8"/>
    <sheet state="visible" name="新NISA戦略" sheetId="5" r:id="rId9"/>
  </sheets>
  <definedNames>
    <definedName hidden="1" localSheetId="2" name="_xlnm._FilterDatabase">'配当金履歴一覧'!$B$1:$H$162</definedName>
    <definedName hidden="1" localSheetId="3" name="_xlnm._FilterDatabase">'配当金履歴一覧 のコピー'!$C$1:$I$162</definedName>
  </definedNames>
  <calcPr/>
</workbook>
</file>

<file path=xl/sharedStrings.xml><?xml version="1.0" encoding="utf-8"?>
<sst xmlns="http://schemas.openxmlformats.org/spreadsheetml/2006/main" count="505" uniqueCount="105">
  <si>
    <t>コード</t>
  </si>
  <si>
    <t>銘柄名</t>
  </si>
  <si>
    <t>配当金分配年月</t>
  </si>
  <si>
    <t>配当金単価（税引き後）</t>
  </si>
  <si>
    <t>【特定】保有数 / 受取金額（税引き後）</t>
  </si>
  <si>
    <t>【NISA】保有数 / 受取金額（税引き後）</t>
  </si>
  <si>
    <t>HDV</t>
  </si>
  <si>
    <t>iシェアーズ コア　米国高配当株 ETF</t>
  </si>
  <si>
    <t>VYM</t>
  </si>
  <si>
    <t>バンガード 米国高配当株式ETF</t>
  </si>
  <si>
    <t>SPYD</t>
  </si>
  <si>
    <t>SPDRポートフォリオS&amp;P 500高配当株式ETF</t>
  </si>
  <si>
    <t>INPEX</t>
  </si>
  <si>
    <t>長谷工コーポレーション</t>
  </si>
  <si>
    <t>住友林業</t>
  </si>
  <si>
    <t>大和ハウス工業</t>
  </si>
  <si>
    <t>積水ハウス</t>
  </si>
  <si>
    <t>ジェイエイシーリクルートメント</t>
  </si>
  <si>
    <t>キリンホールディングス</t>
  </si>
  <si>
    <t>双日</t>
  </si>
  <si>
    <t>日本たばこ産業</t>
  </si>
  <si>
    <t>ヒューリック</t>
  </si>
  <si>
    <t>東ソー</t>
  </si>
  <si>
    <t>花王</t>
  </si>
  <si>
    <t>武田薬品工業</t>
  </si>
  <si>
    <t>ENEOSホールディングス</t>
  </si>
  <si>
    <t>ブリヂストン</t>
  </si>
  <si>
    <t>日本製鉄</t>
  </si>
  <si>
    <t>小松製作所</t>
  </si>
  <si>
    <t>GMOフィナンシャルホールディングス</t>
  </si>
  <si>
    <t>キヤノン</t>
  </si>
  <si>
    <t>伊藤忠商事</t>
  </si>
  <si>
    <t>丸紅</t>
  </si>
  <si>
    <t>三井物産</t>
  </si>
  <si>
    <t>住友商事</t>
  </si>
  <si>
    <t>三菱商事</t>
  </si>
  <si>
    <t>あおぞら銀行</t>
  </si>
  <si>
    <t>三菱UFJフィナンシャル・グループ</t>
  </si>
  <si>
    <t>三井住友フィナンシャルグループ</t>
  </si>
  <si>
    <t>セブン銀行</t>
  </si>
  <si>
    <t>SBIホールディングス</t>
  </si>
  <si>
    <t>オリックス</t>
  </si>
  <si>
    <t>三菱HCキャピタル</t>
  </si>
  <si>
    <t>SOMPOホールディングス</t>
  </si>
  <si>
    <t>東京海上ホールディングス</t>
  </si>
  <si>
    <t>日本郵船</t>
  </si>
  <si>
    <t>NTT</t>
  </si>
  <si>
    <t>KDDI</t>
  </si>
  <si>
    <t>ソフトバンク</t>
  </si>
  <si>
    <t>電源開発</t>
  </si>
  <si>
    <t>2024年間配当金総額</t>
  </si>
  <si>
    <t>2025年間配当金総額</t>
  </si>
  <si>
    <t>2026年間配当金総額</t>
  </si>
  <si>
    <t>銘柄別年間配当金総額</t>
  </si>
  <si>
    <t>2024年</t>
  </si>
  <si>
    <t>2025年</t>
  </si>
  <si>
    <t>2026年</t>
  </si>
  <si>
    <t>米国株</t>
  </si>
  <si>
    <t>日本株</t>
  </si>
  <si>
    <t>No.</t>
  </si>
  <si>
    <t>配当金単価
（税引き後）</t>
  </si>
  <si>
    <t>保有数
（特定）</t>
  </si>
  <si>
    <t>受取金額
（特定）</t>
  </si>
  <si>
    <t>保有数
（NISA）</t>
  </si>
  <si>
    <t>受取金額
（NISA）</t>
  </si>
  <si>
    <t>0.59USD</t>
  </si>
  <si>
    <t>0.33USD</t>
  </si>
  <si>
    <t>0.75USD</t>
  </si>
  <si>
    <t>0.83USD</t>
  </si>
  <si>
    <t>0.92USD</t>
  </si>
  <si>
    <t>0.43USD</t>
  </si>
  <si>
    <t>0.76USD</t>
  </si>
  <si>
    <t>0.41USD</t>
  </si>
  <si>
    <t>1.1USD</t>
  </si>
  <si>
    <t>1.01USD</t>
  </si>
  <si>
    <t>0.86USD</t>
  </si>
  <si>
    <t>0.49USD</t>
  </si>
  <si>
    <t>0.71USD</t>
  </si>
  <si>
    <t>0.37USD</t>
  </si>
  <si>
    <t>0.82USD</t>
  </si>
  <si>
    <t>0.77USD</t>
  </si>
  <si>
    <t>0.45USD</t>
  </si>
  <si>
    <t>0.85USD</t>
  </si>
  <si>
    <t>0.44USD</t>
  </si>
  <si>
    <t>1.12USD</t>
  </si>
  <si>
    <t>銘柄コード</t>
  </si>
  <si>
    <t>年月</t>
  </si>
  <si>
    <t>単価</t>
  </si>
  <si>
    <t>特定口座（保有株数）</t>
  </si>
  <si>
    <t>特定口座（受取金額）</t>
  </si>
  <si>
    <t>NISA口座（保有株数）</t>
  </si>
  <si>
    <t>NISA口座（受取金額）</t>
  </si>
  <si>
    <t>年</t>
  </si>
  <si>
    <t>月</t>
  </si>
  <si>
    <t>予定投資額
（積立投資枠）</t>
  </si>
  <si>
    <t>予定投資額
（成長投資枠）</t>
  </si>
  <si>
    <t>予定投資額合計</t>
  </si>
  <si>
    <t>新NISA投資枠残額</t>
  </si>
  <si>
    <t>内訳</t>
  </si>
  <si>
    <t>月額</t>
  </si>
  <si>
    <t>年額</t>
  </si>
  <si>
    <t>新NISA</t>
  </si>
  <si>
    <t>積立投資枠</t>
  </si>
  <si>
    <t>成長投資枠</t>
  </si>
  <si>
    <t>合計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</si>
</sst>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/mm"/>
    <numFmt numFmtId="165" formatCode="[$¥-411]#,##0.00"/>
    <numFmt numFmtId="166" formatCode="[$¥-411]#,##0"/>
    <numFmt numFmtId="167" formatCode="yyyy/m"/>
    <numFmt numFmtId="168" formatCode="&quot;¥&quot;#,##0;[Red]&quot;¥&quot;\-#,##0"/>
    <numFmt numFmtId="169" formatCode="[$¥-411]#,##0;[$¥-411]#,##0"/>
  </numFmts>
  <fonts count="6">
    <font>
      <sz val="10.0"/>
      <color rgb="FF000000"/>
      <name val="Arial"/>
      <scheme val="minor"/>
    </font>
    <font>
      <color theme="1"/>
      <name val="Meiryo"/>
    </font>
    <font/>
    <font>
      <color theme="1"/>
      <name val="Arial"/>
    </font>
    <font>
      <b/>
      <color theme="1"/>
      <name val="Meiryo"/>
    </font>
    <font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2" fillId="3" fontId="1" numFmtId="0" xfId="0" applyAlignment="1" applyBorder="1" applyFill="1" applyFont="1">
      <alignment horizontal="center" readingOrder="0"/>
    </xf>
    <xf borderId="2" fillId="4" fontId="1" numFmtId="0" xfId="0" applyAlignment="1" applyBorder="1" applyFill="1" applyFont="1">
      <alignment horizontal="center" readingOrder="0"/>
    </xf>
    <xf borderId="6" fillId="0" fontId="2" numFmtId="0" xfId="0" applyBorder="1" applyFont="1"/>
    <xf borderId="2" fillId="5" fontId="1" numFmtId="0" xfId="0" applyAlignment="1" applyBorder="1" applyFill="1" applyFont="1">
      <alignment horizontal="center" readingOrder="0" vertical="bottom"/>
    </xf>
    <xf borderId="1" fillId="6" fontId="1" numFmtId="0" xfId="0" applyAlignment="1" applyBorder="1" applyFill="1" applyFont="1">
      <alignment horizontal="left" readingOrder="0" vertical="center"/>
    </xf>
    <xf borderId="1" fillId="6" fontId="1" numFmtId="0" xfId="0" applyAlignment="1" applyBorder="1" applyFont="1">
      <alignment readingOrder="0" shrinkToFit="0" vertical="center" wrapText="1"/>
    </xf>
    <xf borderId="2" fillId="6" fontId="1" numFmtId="164" xfId="0" applyAlignment="1" applyBorder="1" applyFont="1" applyNumberFormat="1">
      <alignment horizontal="center" readingOrder="0"/>
    </xf>
    <xf borderId="2" fillId="7" fontId="1" numFmtId="165" xfId="0" applyAlignment="1" applyBorder="1" applyFill="1" applyFont="1" applyNumberFormat="1">
      <alignment horizontal="center" readingOrder="0"/>
    </xf>
    <xf borderId="2" fillId="8" fontId="1" numFmtId="165" xfId="0" applyAlignment="1" applyBorder="1" applyFill="1" applyFont="1" applyNumberFormat="1">
      <alignment horizontal="center" readingOrder="0"/>
    </xf>
    <xf borderId="2" fillId="9" fontId="1" numFmtId="165" xfId="0" applyAlignment="1" applyBorder="1" applyFill="1" applyFont="1" applyNumberFormat="1">
      <alignment horizontal="center" readingOrder="0"/>
    </xf>
    <xf borderId="7" fillId="10" fontId="1" numFmtId="0" xfId="0" applyAlignment="1" applyBorder="1" applyFill="1" applyFont="1">
      <alignment horizontal="right" readingOrder="0"/>
    </xf>
    <xf borderId="7" fillId="10" fontId="1" numFmtId="166" xfId="0" applyAlignment="1" applyBorder="1" applyFont="1" applyNumberFormat="1">
      <alignment horizontal="right" readingOrder="0"/>
    </xf>
    <xf borderId="7" fillId="11" fontId="1" numFmtId="0" xfId="0" applyAlignment="1" applyBorder="1" applyFill="1" applyFont="1">
      <alignment horizontal="right" readingOrder="0"/>
    </xf>
    <xf borderId="7" fillId="11" fontId="1" numFmtId="166" xfId="0" applyAlignment="1" applyBorder="1" applyFont="1" applyNumberFormat="1">
      <alignment horizontal="right" readingOrder="0"/>
    </xf>
    <xf borderId="2" fillId="0" fontId="1" numFmtId="165" xfId="0" applyAlignment="1" applyBorder="1" applyFont="1" applyNumberFormat="1">
      <alignment horizontal="center" readingOrder="0"/>
    </xf>
    <xf borderId="2" fillId="12" fontId="1" numFmtId="165" xfId="0" applyAlignment="1" applyBorder="1" applyFill="1" applyFont="1" applyNumberFormat="1">
      <alignment horizontal="center" readingOrder="0"/>
    </xf>
    <xf borderId="2" fillId="0" fontId="3" numFmtId="165" xfId="0" applyAlignment="1" applyBorder="1" applyFont="1" applyNumberFormat="1">
      <alignment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right"/>
    </xf>
    <xf borderId="0" fillId="0" fontId="1" numFmtId="0" xfId="0" applyFont="1"/>
    <xf borderId="2" fillId="13" fontId="1" numFmtId="0" xfId="0" applyAlignment="1" applyBorder="1" applyFill="1" applyFont="1">
      <alignment horizontal="center" readingOrder="0" vertical="center"/>
    </xf>
    <xf borderId="7" fillId="8" fontId="1" numFmtId="164" xfId="0" applyAlignment="1" applyBorder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166" xfId="0" applyAlignment="1" applyFont="1" applyNumberFormat="1">
      <alignment horizontal="center" readingOrder="0" vertical="center"/>
    </xf>
    <xf borderId="1" fillId="0" fontId="1" numFmtId="166" xfId="0" applyAlignment="1" applyBorder="1" applyFont="1" applyNumberFormat="1">
      <alignment horizontal="center" readingOrder="0" vertical="center"/>
    </xf>
    <xf borderId="1" fillId="13" fontId="1" numFmtId="0" xfId="0" applyAlignment="1" applyBorder="1" applyFont="1">
      <alignment horizontal="center" readingOrder="0" vertical="center"/>
    </xf>
    <xf borderId="2" fillId="13" fontId="1" numFmtId="0" xfId="0" applyAlignment="1" applyBorder="1" applyFont="1">
      <alignment horizontal="center" readingOrder="0"/>
    </xf>
    <xf borderId="7" fillId="8" fontId="1" numFmtId="0" xfId="0" applyAlignment="1" applyBorder="1" applyFont="1">
      <alignment horizontal="center" readingOrder="0"/>
    </xf>
    <xf borderId="8" fillId="8" fontId="1" numFmtId="0" xfId="0" applyAlignment="1" applyBorder="1" applyFont="1">
      <alignment horizontal="center" readingOrder="0" vertical="center"/>
    </xf>
    <xf borderId="9" fillId="0" fontId="2" numFmtId="0" xfId="0" applyBorder="1" applyFont="1"/>
    <xf borderId="1" fillId="0" fontId="1" numFmtId="166" xfId="0" applyAlignment="1" applyBorder="1" applyFont="1" applyNumberForma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7" fillId="8" fontId="1" numFmtId="0" xfId="0" applyAlignment="1" applyBorder="1" applyFont="1">
      <alignment horizontal="left" readingOrder="0"/>
    </xf>
    <xf borderId="7" fillId="8" fontId="1" numFmtId="0" xfId="0" applyAlignment="1" applyBorder="1" applyFont="1">
      <alignment readingOrder="0"/>
    </xf>
    <xf borderId="7" fillId="0" fontId="1" numFmtId="166" xfId="0" applyBorder="1" applyFont="1" applyNumberFormat="1"/>
    <xf borderId="0" fillId="2" fontId="1" numFmtId="0" xfId="0" applyAlignment="1" applyFont="1">
      <alignment horizontal="center" readingOrder="0"/>
    </xf>
    <xf borderId="7" fillId="2" fontId="1" numFmtId="0" xfId="0" applyAlignment="1" applyBorder="1" applyFont="1">
      <alignment horizontal="center" readingOrder="0"/>
    </xf>
    <xf borderId="7" fillId="3" fontId="1" numFmtId="0" xfId="0" applyAlignment="1" applyBorder="1" applyFont="1">
      <alignment horizontal="center" readingOrder="0"/>
    </xf>
    <xf borderId="7" fillId="4" fontId="1" numFmtId="0" xfId="0" applyAlignment="1" applyBorder="1" applyFont="1">
      <alignment horizontal="center" readingOrder="0"/>
    </xf>
    <xf borderId="7" fillId="5" fontId="1" numFmtId="0" xfId="0" applyAlignment="1" applyBorder="1" applyFont="1">
      <alignment horizontal="center" readingOrder="0"/>
    </xf>
    <xf borderId="7" fillId="6" fontId="1" numFmtId="0" xfId="0" applyAlignment="1" applyBorder="1" applyFont="1">
      <alignment readingOrder="0"/>
    </xf>
    <xf borderId="7" fillId="6" fontId="1" numFmtId="164" xfId="0" applyAlignment="1" applyBorder="1" applyFont="1" applyNumberFormat="1">
      <alignment horizontal="right" readingOrder="0"/>
    </xf>
    <xf borderId="7" fillId="12" fontId="1" numFmtId="165" xfId="0" applyAlignment="1" applyBorder="1" applyFont="1" applyNumberFormat="1">
      <alignment horizontal="right" readingOrder="0"/>
    </xf>
    <xf borderId="7" fillId="12" fontId="1" numFmtId="165" xfId="0" applyAlignment="1" applyBorder="1" applyFont="1" applyNumberFormat="1">
      <alignment readingOrder="0"/>
    </xf>
    <xf borderId="7" fillId="6" fontId="1" numFmtId="164" xfId="0" applyAlignment="1" applyBorder="1" applyFont="1" applyNumberFormat="1">
      <alignment readingOrder="0" vertical="center"/>
    </xf>
    <xf borderId="7" fillId="12" fontId="1" numFmtId="165" xfId="0" applyAlignment="1" applyBorder="1" applyFont="1" applyNumberFormat="1">
      <alignment horizontal="right" readingOrder="0"/>
    </xf>
    <xf borderId="7" fillId="10" fontId="1" numFmtId="0" xfId="0" applyAlignment="1" applyBorder="1" applyFont="1">
      <alignment readingOrder="0"/>
    </xf>
    <xf borderId="7" fillId="10" fontId="1" numFmtId="166" xfId="0" applyAlignment="1" applyBorder="1" applyFont="1" applyNumberFormat="1">
      <alignment readingOrder="0"/>
    </xf>
    <xf borderId="7" fillId="11" fontId="1" numFmtId="0" xfId="0" applyAlignment="1" applyBorder="1" applyFont="1">
      <alignment readingOrder="0"/>
    </xf>
    <xf borderId="7" fillId="11" fontId="1" numFmtId="166" xfId="0" applyAlignment="1" applyBorder="1" applyFont="1" applyNumberFormat="1">
      <alignment readingOrder="0"/>
    </xf>
    <xf borderId="7" fillId="6" fontId="1" numFmtId="167" xfId="0" applyAlignment="1" applyBorder="1" applyFont="1" applyNumberFormat="1">
      <alignment readingOrder="0" vertical="center"/>
    </xf>
    <xf borderId="0" fillId="0" fontId="1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7" fillId="13" fontId="1" numFmtId="0" xfId="0" applyAlignment="1" applyBorder="1" applyFont="1">
      <alignment horizontal="center"/>
    </xf>
    <xf borderId="7" fillId="13" fontId="1" numFmtId="0" xfId="0" applyAlignment="1" applyBorder="1" applyFont="1">
      <alignment horizontal="center" shrinkToFit="0" wrapText="1"/>
    </xf>
    <xf borderId="0" fillId="13" fontId="1" numFmtId="0" xfId="0" applyAlignment="1" applyFont="1">
      <alignment horizontal="center"/>
    </xf>
    <xf borderId="2" fillId="2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0" fillId="0" fontId="5" numFmtId="0" xfId="0" applyFont="1"/>
    <xf borderId="1" fillId="8" fontId="1" numFmtId="0" xfId="0" applyAlignment="1" applyBorder="1" applyFont="1">
      <alignment horizontal="center" vertical="center"/>
    </xf>
    <xf borderId="7" fillId="8" fontId="1" numFmtId="0" xfId="0" applyAlignment="1" applyBorder="1" applyFont="1">
      <alignment horizontal="right"/>
    </xf>
    <xf borderId="7" fillId="0" fontId="1" numFmtId="168" xfId="0" applyAlignment="1" applyBorder="1" applyFont="1" applyNumberFormat="1">
      <alignment horizontal="right"/>
    </xf>
    <xf borderId="1" fillId="6" fontId="1" numFmtId="0" xfId="0" applyBorder="1" applyFont="1"/>
    <xf borderId="7" fillId="6" fontId="1" numFmtId="0" xfId="0" applyBorder="1" applyFont="1"/>
    <xf borderId="7" fillId="6" fontId="1" numFmtId="169" xfId="0" applyBorder="1" applyFont="1" applyNumberFormat="1"/>
    <xf borderId="2" fillId="6" fontId="1" numFmtId="0" xfId="0" applyBorder="1" applyFont="1"/>
    <xf borderId="7" fillId="0" fontId="1" numFmtId="169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37.63"/>
    <col customWidth="1" min="3" max="26" width="7.6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>
      <c r="A2" s="6"/>
      <c r="B2" s="6"/>
      <c r="C2" s="7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</row>
    <row r="3">
      <c r="A3" s="6"/>
      <c r="B3" s="6"/>
      <c r="C3" s="8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5"/>
    </row>
    <row r="4">
      <c r="A4" s="9"/>
      <c r="B4" s="9"/>
      <c r="C4" s="10" t="s">
        <v>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5"/>
    </row>
    <row r="5">
      <c r="A5" s="11" t="s">
        <v>6</v>
      </c>
      <c r="B5" s="12" t="s">
        <v>7</v>
      </c>
      <c r="C5" s="13">
        <v>45352.0</v>
      </c>
      <c r="D5" s="5"/>
      <c r="E5" s="13">
        <v>45444.0</v>
      </c>
      <c r="F5" s="5"/>
      <c r="G5" s="13">
        <v>45566.0</v>
      </c>
      <c r="H5" s="5"/>
      <c r="I5" s="13">
        <v>45627.0</v>
      </c>
      <c r="J5" s="5"/>
      <c r="K5" s="13">
        <v>45717.0</v>
      </c>
      <c r="L5" s="5"/>
      <c r="M5" s="13">
        <v>45809.0</v>
      </c>
      <c r="N5" s="5"/>
      <c r="O5" s="13">
        <v>45901.0</v>
      </c>
      <c r="P5" s="5"/>
      <c r="Q5" s="13">
        <v>45992.0</v>
      </c>
      <c r="R5" s="5"/>
      <c r="S5" s="13"/>
      <c r="T5" s="5"/>
      <c r="U5" s="13"/>
      <c r="V5" s="5"/>
      <c r="W5" s="13"/>
      <c r="X5" s="5"/>
      <c r="Y5" s="13"/>
      <c r="Z5" s="5"/>
    </row>
    <row r="6">
      <c r="A6" s="6"/>
      <c r="B6" s="6"/>
      <c r="C6" s="14" t="str">
        <f>IFERROR(__xludf.DUMMYFUNCTION("FILTER('配当金履歴一覧'!$D:$D,('配当金履歴一覧'!$C:$C=C5)*('配当金履歴一覧'!$B:$B=$B5))"),"0.75USD")</f>
        <v>0.75USD</v>
      </c>
      <c r="D6" s="5"/>
      <c r="E6" s="15" t="str">
        <f>IFERROR(__xludf.DUMMYFUNCTION("FILTER('配当金履歴一覧'!$D:$D,('配当金履歴一覧'!$C:$C=E5)*('配当金履歴一覧'!$B:$B=$B5))"),"0.83USD")</f>
        <v>0.83USD</v>
      </c>
      <c r="F6" s="5"/>
      <c r="G6" s="15" t="str">
        <f>IFERROR(__xludf.DUMMYFUNCTION("FILTER('配当金履歴一覧'!$D:$D,('配当金履歴一覧'!$C:$C=G5)*('配当金履歴一覧'!$B:$B=$B5))"),"1.1USD")</f>
        <v>1.1USD</v>
      </c>
      <c r="H6" s="5"/>
      <c r="I6" s="15" t="str">
        <f>IFERROR(__xludf.DUMMYFUNCTION("FILTER('配当金履歴一覧'!$D:$D,('配当金履歴一覧'!$C:$C=I5)*('配当金履歴一覧'!$B:$B=$B5))"),"1.01USD")</f>
        <v>1.01USD</v>
      </c>
      <c r="J6" s="5"/>
      <c r="K6" s="14" t="str">
        <f>IFERROR(__xludf.DUMMYFUNCTION("FILTER('配当金履歴一覧'!$D:$D,('配当金履歴一覧'!$C:$C=K5)*('配当金履歴一覧'!$B:$B=$B5))"),"0.71USD")</f>
        <v>0.71USD</v>
      </c>
      <c r="L6" s="5"/>
      <c r="M6" s="14" t="str">
        <f>IFERROR(__xludf.DUMMYFUNCTION("FILTER('配当金履歴一覧'!$D:$D,('配当金履歴一覧'!$C:$C=M5)*('配当金履歴一覧'!$B:$B=$B5))"),"0.82USD")</f>
        <v>0.82USD</v>
      </c>
      <c r="N6" s="5"/>
      <c r="O6" s="14" t="str">
        <f>IFERROR(__xludf.DUMMYFUNCTION("FILTER('配当金履歴一覧'!$D:$D,('配当金履歴一覧'!$C:$C=O5)*('配当金履歴一覧'!$B:$B=$B5))"),"0.85USD")</f>
        <v>0.85USD</v>
      </c>
      <c r="P6" s="5"/>
      <c r="Q6" s="15" t="str">
        <f>IFERROR(__xludf.DUMMYFUNCTION("FILTER('配当金履歴一覧'!$D:$D,('配当金履歴一覧'!$C:$C=Q5)*('配当金履歴一覧'!$B:$B=$B5))"),"1.12USD")</f>
        <v>1.12USD</v>
      </c>
      <c r="R6" s="5"/>
      <c r="S6" s="16"/>
      <c r="T6" s="5"/>
      <c r="U6" s="16"/>
      <c r="V6" s="5"/>
      <c r="W6" s="16"/>
      <c r="X6" s="5"/>
      <c r="Y6" s="16"/>
      <c r="Z6" s="5"/>
    </row>
    <row r="7">
      <c r="A7" s="6"/>
      <c r="B7" s="6"/>
      <c r="C7" s="17">
        <f>IFERROR(__xludf.DUMMYFUNCTION("FILTER('配当金履歴一覧'!$E:$E,('配当金履歴一覧'!$C:$C=C5)*('配当金履歴一覧'!$B:$B=$B5))"),51.0)</f>
        <v>51</v>
      </c>
      <c r="D7" s="18">
        <f>IFERROR(__xludf.DUMMYFUNCTION("FILTER('配当金履歴一覧'!$F:$F,('配当金履歴一覧'!$C:$C=C5)*('配当金履歴一覧'!$B:$B=$B5))"),4605.0)</f>
        <v>4605</v>
      </c>
      <c r="E7" s="17">
        <f>IFERROR(__xludf.DUMMYFUNCTION("FILTER('配当金履歴一覧'!$E:$E,('配当金履歴一覧'!$C:$C=E5)*('配当金履歴一覧'!$B:$B=$B5))"),51.0)</f>
        <v>51</v>
      </c>
      <c r="F7" s="18">
        <f>IFERROR(__xludf.DUMMYFUNCTION("FILTER('配当金履歴一覧'!$F:$F,('配当金履歴一覧'!$C:$C=E5)*('配当金履歴一覧'!$B:$B=$B5))"),5316.0)</f>
        <v>5316</v>
      </c>
      <c r="G7" s="17">
        <f>IFERROR(__xludf.DUMMYFUNCTION("FILTER('配当金履歴一覧'!$E:$E,('配当金履歴一覧'!$C:$C=G5)*('配当金履歴一覧'!$B:$B=$B5))"),51.0)</f>
        <v>51</v>
      </c>
      <c r="H7" s="18">
        <f>IFERROR(__xludf.DUMMYFUNCTION("FILTER('配当金履歴一覧'!$F:$F,('配当金履歴一覧'!$C:$C=G5)*('配当金履歴一覧'!$B:$B=$B5))"),6381.0)</f>
        <v>6381</v>
      </c>
      <c r="I7" s="17">
        <f>IFERROR(__xludf.DUMMYFUNCTION("FILTER('配当金履歴一覧'!$E:$E,('配当金履歴一覧'!$C:$C=I5)*('配当金履歴一覧'!$B:$B=$B5))"),51.0)</f>
        <v>51</v>
      </c>
      <c r="J7" s="18">
        <f>IFERROR(__xludf.DUMMYFUNCTION("FILTER('配当金履歴一覧'!$F:$F,('配当金履歴一覧'!$C:$C=I5)*('配当金履歴一覧'!$B:$B=$B5))"),6442.0)</f>
        <v>6442</v>
      </c>
      <c r="K7" s="17">
        <f>IFERROR(__xludf.DUMMYFUNCTION("FILTER('配当金履歴一覧'!$E:$E,('配当金履歴一覧'!$C:$C=K5)*('配当金履歴一覧'!$B:$B=$B5))"),51.0)</f>
        <v>51</v>
      </c>
      <c r="L7" s="18">
        <f>IFERROR(__xludf.DUMMYFUNCTION("FILTER('配当金履歴一覧'!$F:$F,('配当金履歴一覧'!$C:$C=K5)*('配当金履歴一覧'!$B:$B=$B5))"),4311.0)</f>
        <v>4311</v>
      </c>
      <c r="M7" s="17">
        <f>IFERROR(__xludf.DUMMYFUNCTION("FILTER('配当金履歴一覧'!$E:$E,('配当金履歴一覧'!$C:$C=M5)*('配当金履歴一覧'!$B:$B=$B5))"),51.0)</f>
        <v>51</v>
      </c>
      <c r="N7" s="18">
        <f>IFERROR(__xludf.DUMMYFUNCTION("FILTER('配当金履歴一覧'!$F:$F,('配当金履歴一覧'!$C:$C=M5)*('配当金履歴一覧'!$B:$B=$B5))"),4821.0)</f>
        <v>4821</v>
      </c>
      <c r="O7" s="17">
        <f>IFERROR(__xludf.DUMMYFUNCTION("FILTER('配当金履歴一覧'!$E:$E,('配当金履歴一覧'!$C:$C=O5)*('配当金履歴一覧'!$B:$B=$B5))"),51.0)</f>
        <v>51</v>
      </c>
      <c r="P7" s="18">
        <f>IFERROR(__xludf.DUMMYFUNCTION("FILTER('配当金履歴一覧'!$F:$F,('配当金履歴一覧'!$C:$C=O5)*('配当金履歴一覧'!$B:$B=$B5))"),5111.0)</f>
        <v>5111</v>
      </c>
      <c r="Q7" s="17">
        <f>IFERROR(__xludf.DUMMYFUNCTION("FILTER('配当金履歴一覧'!$E:$E,('配当金履歴一覧'!$C:$C=Q5)*('配当金履歴一覧'!$B:$B=$B5))"),51.0)</f>
        <v>51</v>
      </c>
      <c r="R7" s="18">
        <f>IFERROR(__xludf.DUMMYFUNCTION("FILTER('配当金履歴一覧'!$F:$F,('配当金履歴一覧'!$C:$C=Q5)*('配当金履歴一覧'!$B:$B=$B5))"),7097.0)</f>
        <v>7097</v>
      </c>
      <c r="S7" s="17"/>
      <c r="T7" s="18"/>
      <c r="U7" s="17"/>
      <c r="V7" s="18"/>
      <c r="W7" s="17"/>
      <c r="X7" s="18"/>
      <c r="Y7" s="17"/>
      <c r="Z7" s="18"/>
    </row>
    <row r="8">
      <c r="A8" s="9"/>
      <c r="B8" s="9"/>
      <c r="C8" s="19">
        <f>IFERROR(__xludf.DUMMYFUNCTION("FILTER('配当金履歴一覧'!$G:$G,('配当金履歴一覧'!$C:$C=C5)*('配当金履歴一覧'!$B:$B=$B5))"),3.0)</f>
        <v>3</v>
      </c>
      <c r="D8" s="20">
        <f>IFERROR(__xludf.DUMMYFUNCTION("FILTER('配当金履歴一覧'!$H:$H,('配当金履歴一覧'!$C:$C=C5)*('配当金履歴一覧'!$B:$B=$B5))"),113.3)</f>
        <v>113.3</v>
      </c>
      <c r="E8" s="19">
        <f>IFERROR(__xludf.DUMMYFUNCTION("FILTER('配当金履歴一覧'!$G:$G,('配当金履歴一覧'!$C:$C=E5)*('配当金履歴一覧'!$B:$B=$B5))"),6.0)</f>
        <v>6</v>
      </c>
      <c r="F8" s="20">
        <f>IFERROR(__xludf.DUMMYFUNCTION("FILTER('配当金履歴一覧'!$H:$H,('配当金履歴一覧'!$C:$C=E5)*('配当金履歴一覧'!$B:$B=$B5))"),785.0)</f>
        <v>785</v>
      </c>
      <c r="G8" s="19">
        <f>IFERROR(__xludf.DUMMYFUNCTION("FILTER('配当金履歴一覧'!$G:$G,('配当金履歴一覧'!$C:$C=G5)*('配当金履歴一覧'!$B:$B=$B5))"),6.0)</f>
        <v>6</v>
      </c>
      <c r="H8" s="20">
        <f>IFERROR(__xludf.DUMMYFUNCTION("FILTER('配当金履歴一覧'!$H:$H,('配当金履歴一覧'!$C:$C=G5)*('配当金履歴一覧'!$B:$B=$B5))"),942.0)</f>
        <v>942</v>
      </c>
      <c r="I8" s="19">
        <f>IFERROR(__xludf.DUMMYFUNCTION("FILTER('配当金履歴一覧'!$G:$G,('配当金履歴一覧'!$C:$C=I5)*('配当金履歴一覧'!$B:$B=$B5))"),8.0)</f>
        <v>8</v>
      </c>
      <c r="J8" s="20">
        <f>IFERROR(__xludf.DUMMYFUNCTION("FILTER('配当金履歴一覧'!$H:$H,('配当金履歴一覧'!$C:$C=I5)*('配当金履歴一覧'!$B:$B=$B5))"),1268.0)</f>
        <v>1268</v>
      </c>
      <c r="K8" s="19">
        <f>IFERROR(__xludf.DUMMYFUNCTION("FILTER('配当金履歴一覧'!$G:$G,('配当金履歴一覧'!$C:$C=K5)*('配当金履歴一覧'!$B:$B=$B5))"),13.0)</f>
        <v>13</v>
      </c>
      <c r="L8" s="20">
        <f>IFERROR(__xludf.DUMMYFUNCTION("FILTER('配当金履歴一覧'!$H:$H,('配当金履歴一覧'!$C:$C=K5)*('配当金履歴一覧'!$B:$B=$B5))"),1379.0)</f>
        <v>1379</v>
      </c>
      <c r="M8" s="19">
        <f>IFERROR(__xludf.DUMMYFUNCTION("FILTER('配当金履歴一覧'!$G:$G,('配当金履歴一覧'!$C:$C=M5)*('配当金履歴一覧'!$B:$B=$B5))"),16.0)</f>
        <v>16</v>
      </c>
      <c r="N8" s="20">
        <f>IFERROR(__xludf.DUMMYFUNCTION("FILTER('配当金履歴一覧'!$H:$H,('配当金履歴一覧'!$C:$C=M5)*('配当金履歴一覧'!$B:$B=$B5))"),1898.0)</f>
        <v>1898</v>
      </c>
      <c r="O8" s="19">
        <f>IFERROR(__xludf.DUMMYFUNCTION("FILTER('配当金履歴一覧'!$G:$G,('配当金履歴一覧'!$C:$C=O5)*('配当金履歴一覧'!$B:$B=$B5))"),17.0)</f>
        <v>17</v>
      </c>
      <c r="P8" s="20">
        <f>IFERROR(__xludf.DUMMYFUNCTION("FILTER('配当金履歴一覧'!$H:$H,('配当金履歴一覧'!$C:$C=O5)*('配当金履歴一覧'!$B:$B=$B5))"),2138.0)</f>
        <v>2138</v>
      </c>
      <c r="Q8" s="19">
        <f>IFERROR(__xludf.DUMMYFUNCTION("FILTER('配当金履歴一覧'!$G:$G,('配当金履歴一覧'!$C:$C=Q5)*('配当金履歴一覧'!$B:$B=$B5))"),18.0)</f>
        <v>18</v>
      </c>
      <c r="R8" s="20">
        <f>IFERROR(__xludf.DUMMYFUNCTION("FILTER('配当金履歴一覧'!$H:$H,('配当金履歴一覧'!$C:$C=Q5)*('配当金履歴一覧'!$B:$B=$B5))"),3143.0)</f>
        <v>3143</v>
      </c>
      <c r="S8" s="19"/>
      <c r="T8" s="20"/>
      <c r="U8" s="19"/>
      <c r="V8" s="20"/>
      <c r="W8" s="19"/>
      <c r="X8" s="20"/>
      <c r="Y8" s="19"/>
      <c r="Z8" s="20"/>
    </row>
    <row r="9">
      <c r="A9" s="11" t="s">
        <v>8</v>
      </c>
      <c r="B9" s="12" t="s">
        <v>9</v>
      </c>
      <c r="C9" s="13">
        <v>45352.0</v>
      </c>
      <c r="D9" s="5"/>
      <c r="E9" s="13">
        <v>45444.0</v>
      </c>
      <c r="F9" s="5"/>
      <c r="G9" s="13">
        <v>45536.0</v>
      </c>
      <c r="H9" s="5"/>
      <c r="I9" s="13">
        <v>45627.0</v>
      </c>
      <c r="J9" s="5"/>
      <c r="K9" s="13">
        <v>45717.0</v>
      </c>
      <c r="L9" s="5"/>
      <c r="M9" s="13">
        <v>45809.0</v>
      </c>
      <c r="N9" s="5"/>
      <c r="O9" s="13">
        <v>45901.0</v>
      </c>
      <c r="P9" s="5"/>
      <c r="Q9" s="13">
        <v>45992.0</v>
      </c>
      <c r="R9" s="5"/>
      <c r="S9" s="13"/>
      <c r="T9" s="5"/>
      <c r="U9" s="13"/>
      <c r="V9" s="5"/>
      <c r="W9" s="13"/>
      <c r="X9" s="5"/>
      <c r="Y9" s="13"/>
      <c r="Z9" s="5"/>
    </row>
    <row r="10">
      <c r="A10" s="6"/>
      <c r="B10" s="6"/>
      <c r="C10" s="14" t="str">
        <f>IFERROR(__xludf.DUMMYFUNCTION("FILTER('配当金履歴一覧'!$D:$D,('配当金履歴一覧'!$C:$C=C9)*('配当金履歴一覧'!$B:$B=$B9))"),"0.59USD")</f>
        <v>0.59USD</v>
      </c>
      <c r="D10" s="5"/>
      <c r="E10" s="15" t="str">
        <f>IFERROR(__xludf.DUMMYFUNCTION("FILTER('配当金履歴一覧'!$D:$D,('配当金履歴一覧'!$C:$C=E9)*('配当金履歴一覧'!$B:$B=$B9))"),"0.92USD")</f>
        <v>0.92USD</v>
      </c>
      <c r="F10" s="5"/>
      <c r="G10" s="15" t="str">
        <f>IFERROR(__xludf.DUMMYFUNCTION("FILTER('配当金履歴一覧'!$D:$D,('配当金履歴一覧'!$C:$C=G9)*('配当金履歴一覧'!$B:$B=$B9))"),"0.76USD")</f>
        <v>0.76USD</v>
      </c>
      <c r="H10" s="5"/>
      <c r="I10" s="14" t="str">
        <f>IFERROR(__xludf.DUMMYFUNCTION("FILTER('配当金履歴一覧'!$D:$D,('配当金履歴一覧'!$C:$C=I9)*('配当金履歴一覧'!$B:$B=$B9))"),"0.86USD")</f>
        <v>0.86USD</v>
      </c>
      <c r="J10" s="5"/>
      <c r="K10" s="15" t="str">
        <f>IFERROR(__xludf.DUMMYFUNCTION("FILTER('配当金履歴一覧'!$D:$D,('配当金履歴一覧'!$C:$C=K9)*('配当金履歴一覧'!$B:$B=$B9))"),"0.76USD")</f>
        <v>0.76USD</v>
      </c>
      <c r="L10" s="5"/>
      <c r="M10" s="14" t="str">
        <f>IFERROR(__xludf.DUMMYFUNCTION("FILTER('配当金履歴一覧'!$D:$D,('配当金履歴一覧'!$C:$C=M9)*('配当金履歴一覧'!$B:$B=$B9))"),"0.77USD")</f>
        <v>0.77USD</v>
      </c>
      <c r="N10" s="5"/>
      <c r="O10" s="14" t="str">
        <f>IFERROR(__xludf.DUMMYFUNCTION("FILTER('配当金履歴一覧'!$D:$D,('配当金履歴一覧'!$C:$C=O9)*('配当金履歴一覧'!$B:$B=$B9))"),"0.75USD")</f>
        <v>0.75USD</v>
      </c>
      <c r="P10" s="5"/>
      <c r="Q10" s="14" t="str">
        <f>IFERROR(__xludf.DUMMYFUNCTION("FILTER('配当金履歴一覧'!$D:$D,('配当金履歴一覧'!$C:$C=Q9)*('配当金履歴一覧'!$B:$B=$B9))"),"0.85USD")</f>
        <v>0.85USD</v>
      </c>
      <c r="R10" s="5"/>
      <c r="S10" s="21"/>
      <c r="T10" s="5"/>
      <c r="U10" s="21"/>
      <c r="V10" s="5"/>
      <c r="W10" s="21"/>
      <c r="X10" s="5"/>
      <c r="Y10" s="21"/>
      <c r="Z10" s="5"/>
    </row>
    <row r="11">
      <c r="A11" s="9"/>
      <c r="B11" s="9"/>
      <c r="C11" s="19">
        <f>IFERROR(__xludf.DUMMYFUNCTION("FILTER('配当金履歴一覧'!$G:$G,('配当金履歴一覧'!$C:$C=C9)*('配当金履歴一覧'!$B:$B=$B9))"),2.0)</f>
        <v>2</v>
      </c>
      <c r="D11" s="20">
        <f>IFERROR(__xludf.DUMMYFUNCTION("FILTER('配当金履歴一覧'!$H:$H,('配当金履歴一覧'!$C:$C=C9)*('配当金履歴一覧'!$B:$B=$B9))"),174.0)</f>
        <v>174</v>
      </c>
      <c r="E11" s="19">
        <f>IFERROR(__xludf.DUMMYFUNCTION("FILTER('配当金履歴一覧'!$G:$G,('配当金履歴一覧'!$C:$C=E9)*('配当金履歴一覧'!$B:$B=$B9))"),8.0)</f>
        <v>8</v>
      </c>
      <c r="F11" s="20">
        <f>IFERROR(__xludf.DUMMYFUNCTION("FILTER('配当金履歴一覧'!$H:$H,('配当金履歴一覧'!$C:$C=E9)*('配当金履歴一覧'!$B:$B=$B9))"),1170.0)</f>
        <v>1170</v>
      </c>
      <c r="G11" s="19">
        <f>IFERROR(__xludf.DUMMYFUNCTION("FILTER('配当金履歴一覧'!$G:$G,('配当金履歴一覧'!$C:$C=G9)*('配当金履歴一覧'!$B:$B=$B9))"),8.0)</f>
        <v>8</v>
      </c>
      <c r="H11" s="20">
        <f>IFERROR(__xludf.DUMMYFUNCTION("FILTER('配当金履歴一覧'!$H:$H,('配当金履歴一覧'!$C:$C=G9)*('配当金履歴一覧'!$B:$B=$B9))"),874.0)</f>
        <v>874</v>
      </c>
      <c r="I11" s="19">
        <f>IFERROR(__xludf.DUMMYFUNCTION("FILTER('配当金履歴一覧'!$G:$G,('配当金履歴一覧'!$C:$C=I9)*('配当金履歴一覧'!$B:$B=$B9))"),9.0)</f>
        <v>9</v>
      </c>
      <c r="J11" s="20">
        <f>IFERROR(__xludf.DUMMYFUNCTION("FILTER('配当金履歴一覧'!$H:$H,('配当金履歴一覧'!$C:$C=I9)*('配当金履歴一覧'!$B:$B=$B9))"),1223.0)</f>
        <v>1223</v>
      </c>
      <c r="K11" s="19">
        <f>IFERROR(__xludf.DUMMYFUNCTION("FILTER('配当金履歴一覧'!$G:$G,('配当金履歴一覧'!$C:$C=K9)*('配当金履歴一覧'!$B:$B=$B9))"),12.0)</f>
        <v>12</v>
      </c>
      <c r="L11" s="20">
        <f>IFERROR(__xludf.DUMMYFUNCTION("FILTER('配当金履歴一覧'!$H:$H,('配当金履歴一覧'!$C:$C=K9)*('配当金履歴一覧'!$B:$B=$B9))"),1378.0)</f>
        <v>1378</v>
      </c>
      <c r="M11" s="19">
        <f>IFERROR(__xludf.DUMMYFUNCTION("FILTER('配当金履歴一覧'!$G:$G,('配当金履歴一覧'!$C:$C=M9)*('配当金履歴一覧'!$B:$B=$B9))"),17.0)</f>
        <v>17</v>
      </c>
      <c r="N11" s="20">
        <f>IFERROR(__xludf.DUMMYFUNCTION("FILTER('配当金履歴一覧'!$H:$H,('配当金履歴一覧'!$C:$C=M9)*('配当金履歴一覧'!$B:$B=$B9))"),1908.0)</f>
        <v>1908</v>
      </c>
      <c r="O11" s="19">
        <f>IFERROR(__xludf.DUMMYFUNCTION("FILTER('配当金履歴一覧'!$G:$G,('配当金履歴一覧'!$C:$C=O9)*('配当金履歴一覧'!$B:$B=$B9))"),18.0)</f>
        <v>18</v>
      </c>
      <c r="P11" s="20">
        <f>IFERROR(__xludf.DUMMYFUNCTION("FILTER('配当金履歴一覧'!$H:$H,('配当金履歴一覧'!$C:$C=O9)*('配当金履歴一覧'!$B:$B=$B9))"),2010.0)</f>
        <v>2010</v>
      </c>
      <c r="Q11" s="19">
        <f>IFERROR(__xludf.DUMMYFUNCTION("FILTER('配当金履歴一覧'!$G:$G,('配当金履歴一覧'!$C:$C=Q9)*('配当金履歴一覧'!$B:$B=$B9))"),19.0)</f>
        <v>19</v>
      </c>
      <c r="R11" s="20">
        <f>IFERROR(__xludf.DUMMYFUNCTION("FILTER('配当金履歴一覧'!$H:$H,('配当金履歴一覧'!$C:$C=Q9)*('配当金履歴一覧'!$B:$B=$B9))"),2524.0)</f>
        <v>2524</v>
      </c>
      <c r="S11" s="19"/>
      <c r="T11" s="20"/>
      <c r="U11" s="19"/>
      <c r="V11" s="20"/>
      <c r="W11" s="19"/>
      <c r="X11" s="20"/>
      <c r="Y11" s="19"/>
      <c r="Z11" s="20"/>
    </row>
    <row r="12">
      <c r="A12" s="11" t="s">
        <v>10</v>
      </c>
      <c r="B12" s="12" t="s">
        <v>11</v>
      </c>
      <c r="C12" s="13">
        <v>45352.0</v>
      </c>
      <c r="D12" s="5"/>
      <c r="E12" s="13">
        <v>45444.0</v>
      </c>
      <c r="F12" s="5"/>
      <c r="G12" s="13">
        <v>45536.0</v>
      </c>
      <c r="H12" s="5"/>
      <c r="I12" s="13">
        <v>45627.0</v>
      </c>
      <c r="J12" s="5"/>
      <c r="K12" s="13">
        <v>45717.0</v>
      </c>
      <c r="L12" s="5"/>
      <c r="M12" s="13">
        <v>45809.0</v>
      </c>
      <c r="N12" s="5"/>
      <c r="O12" s="13">
        <v>45901.0</v>
      </c>
      <c r="P12" s="5"/>
      <c r="Q12" s="13">
        <v>45992.0</v>
      </c>
      <c r="R12" s="5"/>
      <c r="S12" s="13"/>
      <c r="T12" s="5"/>
      <c r="U12" s="13"/>
      <c r="V12" s="5"/>
      <c r="W12" s="13"/>
      <c r="X12" s="5"/>
      <c r="Y12" s="13"/>
      <c r="Z12" s="5"/>
    </row>
    <row r="13">
      <c r="A13" s="6"/>
      <c r="B13" s="6"/>
      <c r="C13" s="14" t="str">
        <f>IFERROR(__xludf.DUMMYFUNCTION("FILTER('配当金履歴一覧'!$D:$D,('配当金履歴一覧'!$C:$C=C12)*('配当金履歴一覧'!$B:$B=$B12))"),"0.33USD")</f>
        <v>0.33USD</v>
      </c>
      <c r="D13" s="5"/>
      <c r="E13" s="15" t="str">
        <f>IFERROR(__xludf.DUMMYFUNCTION("FILTER('配当金履歴一覧'!$D:$D,('配当金履歴一覧'!$C:$C=E12)*('配当金履歴一覧'!$B:$B=$B12))"),"0.43USD")</f>
        <v>0.43USD</v>
      </c>
      <c r="F13" s="5"/>
      <c r="G13" s="15" t="str">
        <f>IFERROR(__xludf.DUMMYFUNCTION("FILTER('配当金履歴一覧'!$D:$D,('配当金履歴一覧'!$C:$C=G12)*('配当金履歴一覧'!$B:$B=$B12))"),"0.41USD")</f>
        <v>0.41USD</v>
      </c>
      <c r="H13" s="5"/>
      <c r="I13" s="15" t="str">
        <f>IFERROR(__xludf.DUMMYFUNCTION("FILTER('配当金履歴一覧'!$D:$D,('配当金履歴一覧'!$C:$C=I12)*('配当金履歴一覧'!$B:$B=$B12))"),"0.49USD")</f>
        <v>0.49USD</v>
      </c>
      <c r="J13" s="5"/>
      <c r="K13" s="15" t="str">
        <f>IFERROR(__xludf.DUMMYFUNCTION("FILTER('配当金履歴一覧'!$D:$D,('配当金履歴一覧'!$C:$C=K12)*('配当金履歴一覧'!$B:$B=$B12))"),"0.37USD")</f>
        <v>0.37USD</v>
      </c>
      <c r="L13" s="5"/>
      <c r="M13" s="15" t="str">
        <f>IFERROR(__xludf.DUMMYFUNCTION("FILTER('配当金履歴一覧'!$D:$D,('配当金履歴一覧'!$C:$C=M12)*('配当金履歴一覧'!$B:$B=$B12))"),"0.45USD")</f>
        <v>0.45USD</v>
      </c>
      <c r="N13" s="5"/>
      <c r="O13" s="15" t="str">
        <f>IFERROR(__xludf.DUMMYFUNCTION("FILTER('配当金履歴一覧'!$D:$D,('配当金履歴一覧'!$C:$C=O12)*('配当金履歴一覧'!$B:$B=$B12))"),"0.44USD")</f>
        <v>0.44USD</v>
      </c>
      <c r="P13" s="5"/>
      <c r="Q13" s="22" t="str">
        <f>IFERROR(__xludf.DUMMYFUNCTION("FILTER('配当金履歴一覧'!$D:$D,('配当金履歴一覧'!$C:$C=Q12)*('配当金履歴一覧'!$B:$B=$B12))"),"0.49USD")</f>
        <v>0.49USD</v>
      </c>
      <c r="R13" s="5"/>
      <c r="S13" s="21"/>
      <c r="T13" s="5"/>
      <c r="U13" s="21"/>
      <c r="V13" s="5"/>
      <c r="W13" s="21"/>
      <c r="X13" s="5"/>
      <c r="Y13" s="21"/>
      <c r="Z13" s="5"/>
    </row>
    <row r="14">
      <c r="A14" s="6"/>
      <c r="B14" s="6"/>
      <c r="C14" s="17">
        <f>IFERROR(__xludf.DUMMYFUNCTION("FILTER('配当金履歴一覧'!$E:$E,('配当金履歴一覧'!$C:$C=C12)*('配当金履歴一覧'!$B:$B=$B12))"),191.0)</f>
        <v>191</v>
      </c>
      <c r="D14" s="18">
        <f>IFERROR(__xludf.DUMMYFUNCTION("FILTER('配当金履歴一覧'!$F:$F,('配当金履歴一覧'!$C:$C=C12)*('配当金履歴一覧'!$B:$B=$B12))"),7580.0)</f>
        <v>7580</v>
      </c>
      <c r="E14" s="17">
        <f>IFERROR(__xludf.DUMMYFUNCTION("FILTER('配当金履歴一覧'!$E:$E,('配当金履歴一覧'!$C:$C=E12)*('配当金履歴一覧'!$B:$B=$B12))"),191.0)</f>
        <v>191</v>
      </c>
      <c r="F14" s="18">
        <f>IFERROR(__xludf.DUMMYFUNCTION("FILTER('配当金履歴一覧'!$F:$F,('配当金履歴一覧'!$C:$C=E12)*('配当金履歴一覧'!$B:$B=$B12))"),10578.0)</f>
        <v>10578</v>
      </c>
      <c r="G14" s="17">
        <f>IFERROR(__xludf.DUMMYFUNCTION("FILTER('配当金履歴一覧'!$E:$E,('配当金履歴一覧'!$C:$C=G12)*('配当金履歴一覧'!$B:$B=$B12))"),191.0)</f>
        <v>191</v>
      </c>
      <c r="H14" s="18">
        <f>IFERROR(__xludf.DUMMYFUNCTION("FILTER('配当金履歴一覧'!$F:$F,('配当金履歴一覧'!$C:$C=G12)*('配当金履歴一覧'!$B:$B=$B12))"),8928.0)</f>
        <v>8928</v>
      </c>
      <c r="I14" s="17">
        <f>IFERROR(__xludf.DUMMYFUNCTION("FILTER('配当金履歴一覧'!$E:$E,('配当金履歴一覧'!$C:$C=I12)*('配当金履歴一覧'!$B:$B=$B12))"),191.0)</f>
        <v>191</v>
      </c>
      <c r="J14" s="18">
        <f>IFERROR(__xludf.DUMMYFUNCTION("FILTER('配当金履歴一覧'!$F:$F,('配当金履歴一覧'!$C:$C=I12)*('配当金履歴一覧'!$B:$B=$B12))"),11720.0)</f>
        <v>11720</v>
      </c>
      <c r="K14" s="17">
        <f>IFERROR(__xludf.DUMMYFUNCTION("FILTER('配当金履歴一覧'!$E:$E,('配当金履歴一覧'!$C:$C=K12)*('配当金履歴一覧'!$B:$B=$B12))"),191.0)</f>
        <v>191</v>
      </c>
      <c r="L14" s="18">
        <f>IFERROR(__xludf.DUMMYFUNCTION("FILTER('配当金履歴一覧'!$F:$F,('配当金履歴一覧'!$C:$C=K12)*('配当金履歴一覧'!$B:$B=$B12))"),8562.0)</f>
        <v>8562</v>
      </c>
      <c r="M14" s="17">
        <f>IFERROR(__xludf.DUMMYFUNCTION("FILTER('配当金履歴一覧'!$E:$E,('配当金履歴一覧'!$C:$C=M12)*('配当金履歴一覧'!$B:$B=$B12))"),191.0)</f>
        <v>191</v>
      </c>
      <c r="N14" s="18">
        <f>IFERROR(__xludf.DUMMYFUNCTION("FILTER('配当金履歴一覧'!$F:$F,('配当金履歴一覧'!$C:$C=M12)*('配当金履歴一覧'!$B:$B=$B12))"),9858.0)</f>
        <v>9858</v>
      </c>
      <c r="O14" s="17">
        <f>IFERROR(__xludf.DUMMYFUNCTION("FILTER('配当金履歴一覧'!$E:$E,('配当金履歴一覧'!$C:$C=O12)*('配当金履歴一覧'!$B:$B=$B12))"),191.0)</f>
        <v>191</v>
      </c>
      <c r="P14" s="18">
        <f>IFERROR(__xludf.DUMMYFUNCTION("FILTER('配当金履歴一覧'!$F:$F,('配当金履歴一覧'!$C:$C=O12)*('配当金履歴一覧'!$B:$B=$B12))"),9842.0)</f>
        <v>9842</v>
      </c>
      <c r="Q14" s="17">
        <f>IFERROR(__xludf.DUMMYFUNCTION("FILTER('配当金履歴一覧'!$E:$E,('配当金履歴一覧'!$C:$C=Q12)*('配当金履歴一覧'!$B:$B=$B12))"),191.0)</f>
        <v>191</v>
      </c>
      <c r="R14" s="18">
        <f>IFERROR(__xludf.DUMMYFUNCTION("FILTER('配当金履歴一覧'!$F:$F,('配当金履歴一覧'!$C:$C=Q12)*('配当金履歴一覧'!$B:$B=$B12))"),11689.0)</f>
        <v>11689</v>
      </c>
      <c r="S14" s="17"/>
      <c r="T14" s="18"/>
      <c r="U14" s="17"/>
      <c r="V14" s="18"/>
      <c r="W14" s="17"/>
      <c r="X14" s="18"/>
      <c r="Y14" s="17"/>
      <c r="Z14" s="18"/>
    </row>
    <row r="15">
      <c r="A15" s="9"/>
      <c r="B15" s="9"/>
      <c r="C15" s="19">
        <f>IFERROR(__xludf.DUMMYFUNCTION("FILTER('配当金履歴一覧'!$G:$G,('配当金履歴一覧'!$C:$C=C12)*('配当金履歴一覧'!$B:$B=$B12))"),5.0)</f>
        <v>5</v>
      </c>
      <c r="D15" s="20">
        <f>IFERROR(__xludf.DUMMYFUNCTION("FILTER('配当金履歴一覧'!$H:$H,('配当金履歴一覧'!$C:$C=C12)*('配当金履歴一覧'!$B:$B=$B12))"),249.0)</f>
        <v>249</v>
      </c>
      <c r="E15" s="19">
        <f>IFERROR(__xludf.DUMMYFUNCTION("FILTER('配当金履歴一覧'!$G:$G,('配当金履歴一覧'!$C:$C=E12)*('配当金履歴一覧'!$B:$B=$B12))"),6.0)</f>
        <v>6</v>
      </c>
      <c r="F15" s="20">
        <f>IFERROR(__xludf.DUMMYFUNCTION("FILTER('配当金履歴一覧'!$H:$H,('配当金履歴一覧'!$C:$C=E12)*('配当金履歴一覧'!$B:$B=$B12))"),417.0)</f>
        <v>417</v>
      </c>
      <c r="G15" s="19">
        <f>IFERROR(__xludf.DUMMYFUNCTION("FILTER('配当金履歴一覧'!$G:$G,('配当金履歴一覧'!$C:$C=G12)*('配当金履歴一覧'!$B:$B=$B12))"),6.0)</f>
        <v>6</v>
      </c>
      <c r="H15" s="20">
        <f>IFERROR(__xludf.DUMMYFUNCTION("FILTER('配当金履歴一覧'!$H:$H,('配当金履歴一覧'!$C:$C=G12)*('配当金履歴一覧'!$B:$B=$B12))"),352.0)</f>
        <v>352</v>
      </c>
      <c r="I15" s="19">
        <f>IFERROR(__xludf.DUMMYFUNCTION("FILTER('配当金履歴一覧'!$G:$G,('配当金履歴一覧'!$C:$C=I12)*('配当金履歴一覧'!$B:$B=$B12))"),8.0)</f>
        <v>8</v>
      </c>
      <c r="J15" s="20">
        <f>IFERROR(__xludf.DUMMYFUNCTION("FILTER('配当金履歴一覧'!$H:$H,('配当金履歴一覧'!$C:$C=I12)*('配当金履歴一覧'!$B:$B=$B12))"),616.0)</f>
        <v>616</v>
      </c>
      <c r="K15" s="19">
        <f>IFERROR(__xludf.DUMMYFUNCTION("FILTER('配当金履歴一覧'!$G:$G,('配当金履歴一覧'!$C:$C=K12)*('配当金履歴一覧'!$B:$B=$B12))"),8.0)</f>
        <v>8</v>
      </c>
      <c r="L15" s="20">
        <f>IFERROR(__xludf.DUMMYFUNCTION("FILTER('配当金履歴一覧'!$H:$H,('配当金履歴一覧'!$C:$C=K12)*('配当金履歴一覧'!$B:$B=$B12))"),450.0)</f>
        <v>450</v>
      </c>
      <c r="M15" s="19">
        <f>IFERROR(__xludf.DUMMYFUNCTION("FILTER('配当金履歴一覧'!$G:$G,('配当金履歴一覧'!$C:$C=M12)*('配当金履歴一覧'!$B:$B=$B12))"),9.0)</f>
        <v>9</v>
      </c>
      <c r="N15" s="20">
        <f>IFERROR(__xludf.DUMMYFUNCTION("FILTER('配当金履歴一覧'!$H:$H,('配当金履歴一覧'!$C:$C=M12)*('配当金履歴一覧'!$B:$B=$B12))"),583.0)</f>
        <v>583</v>
      </c>
      <c r="O15" s="19">
        <f>IFERROR(__xludf.DUMMYFUNCTION("FILTER('配当金履歴一覧'!$G:$G,('配当金履歴一覧'!$C:$C=O12)*('配当金履歴一覧'!$B:$B=$B12))"),9.0)</f>
        <v>9</v>
      </c>
      <c r="P15" s="20">
        <f>IFERROR(__xludf.DUMMYFUNCTION("FILTER('配当金履歴一覧'!$H:$H,('配当金履歴一覧'!$C:$C=O12)*('配当金履歴一覧'!$B:$B=$B12))"),582.0)</f>
        <v>582</v>
      </c>
      <c r="Q15" s="19">
        <f>IFERROR(__xludf.DUMMYFUNCTION("FILTER('配当金履歴一覧'!$G:$G,('配当金履歴一覧'!$C:$C=Q12)*('配当金履歴一覧'!$B:$B=$B12))"),10.0)</f>
        <v>10</v>
      </c>
      <c r="R15" s="20">
        <f>IFERROR(__xludf.DUMMYFUNCTION("FILTER('配当金履歴一覧'!$H:$H,('配当金履歴一覧'!$C:$C=Q12)*('配当金履歴一覧'!$B:$B=$B12))"),768.0)</f>
        <v>768</v>
      </c>
      <c r="S15" s="19"/>
      <c r="T15" s="20"/>
      <c r="U15" s="19"/>
      <c r="V15" s="20"/>
      <c r="W15" s="19"/>
      <c r="X15" s="20"/>
      <c r="Y15" s="19"/>
      <c r="Z15" s="20"/>
    </row>
    <row r="16">
      <c r="A16" s="11">
        <v>1605.0</v>
      </c>
      <c r="B16" s="12" t="s">
        <v>12</v>
      </c>
      <c r="C16" s="13">
        <v>45536.0</v>
      </c>
      <c r="D16" s="5"/>
      <c r="E16" s="13">
        <v>45717.0</v>
      </c>
      <c r="F16" s="5"/>
      <c r="G16" s="13">
        <v>45901.0</v>
      </c>
      <c r="H16" s="5"/>
      <c r="I16" s="13"/>
      <c r="J16" s="5"/>
      <c r="K16" s="13"/>
      <c r="L16" s="5"/>
      <c r="M16" s="13"/>
      <c r="N16" s="5"/>
      <c r="O16" s="13"/>
      <c r="P16" s="5"/>
      <c r="Q16" s="13"/>
      <c r="R16" s="5"/>
      <c r="S16" s="13"/>
      <c r="T16" s="5"/>
      <c r="U16" s="13"/>
      <c r="V16" s="5"/>
      <c r="W16" s="13"/>
      <c r="X16" s="5"/>
      <c r="Y16" s="13"/>
      <c r="Z16" s="5"/>
    </row>
    <row r="17">
      <c r="A17" s="6"/>
      <c r="B17" s="6"/>
      <c r="C17" s="15">
        <f>IFERROR(__xludf.DUMMYFUNCTION("FILTER('配当金履歴一覧'!$D:$D,('配当金履歴一覧'!$C:$C=C16)*('配当金履歴一覧'!$B:$B=$B16))"),43.0)</f>
        <v>43</v>
      </c>
      <c r="D17" s="5"/>
      <c r="E17" s="15">
        <f>IFERROR(__xludf.DUMMYFUNCTION("FILTER('配当金履歴一覧'!$D:$D,('配当金履歴一覧'!$C:$C=E16)*('配当金履歴一覧'!$B:$B=$B16))"),43.0)</f>
        <v>43</v>
      </c>
      <c r="F17" s="5"/>
      <c r="G17" s="15">
        <f>IFERROR(__xludf.DUMMYFUNCTION("FILTER('配当金履歴一覧'!$D:$D,('配当金履歴一覧'!$C:$C=G16)*('配当金履歴一覧'!$B:$B=$B16))"),50.0)</f>
        <v>50</v>
      </c>
      <c r="H17" s="5"/>
      <c r="I17" s="21"/>
      <c r="J17" s="5"/>
      <c r="K17" s="21"/>
      <c r="L17" s="5"/>
      <c r="M17" s="21"/>
      <c r="N17" s="5"/>
      <c r="O17" s="21"/>
      <c r="P17" s="5"/>
      <c r="Q17" s="21"/>
      <c r="R17" s="5"/>
      <c r="S17" s="21"/>
      <c r="T17" s="5"/>
      <c r="U17" s="21"/>
      <c r="V17" s="5"/>
      <c r="W17" s="21"/>
      <c r="X17" s="5"/>
      <c r="Y17" s="21"/>
      <c r="Z17" s="5"/>
    </row>
    <row r="18">
      <c r="A18" s="9"/>
      <c r="B18" s="9"/>
      <c r="C18" s="19">
        <f>IFERROR(__xludf.DUMMYFUNCTION("FILTER('配当金履歴一覧'!$G:$G,('配当金履歴一覧'!$C:$C=C16)*('配当金履歴一覧'!$B:$B=$B16))"),4.0)</f>
        <v>4</v>
      </c>
      <c r="D18" s="20">
        <f>IFERROR(__xludf.DUMMYFUNCTION("FILTER('配当金履歴一覧'!$H:$H,('配当金履歴一覧'!$C:$C=C16)*('配当金履歴一覧'!$B:$B=$B16))"),172.0)</f>
        <v>172</v>
      </c>
      <c r="E18" s="19">
        <f>IFERROR(__xludf.DUMMYFUNCTION("FILTER('配当金履歴一覧'!$G:$G,('配当金履歴一覧'!$C:$C=E16)*('配当金履歴一覧'!$B:$B=$B16))"),13.0)</f>
        <v>13</v>
      </c>
      <c r="F18" s="20">
        <f>IFERROR(__xludf.DUMMYFUNCTION("FILTER('配当金履歴一覧'!$H:$H,('配当金履歴一覧'!$C:$C=E16)*('配当金履歴一覧'!$B:$B=$B16))"),559.0)</f>
        <v>559</v>
      </c>
      <c r="G18" s="19">
        <f>IFERROR(__xludf.DUMMYFUNCTION("FILTER('配当金履歴一覧'!$G:$G,('配当金履歴一覧'!$C:$C=G16)*('配当金履歴一覧'!$B:$B=$B16))"),26.0)</f>
        <v>26</v>
      </c>
      <c r="H18" s="20">
        <f>IFERROR(__xludf.DUMMYFUNCTION("FILTER('配当金履歴一覧'!$H:$H,('配当金履歴一覧'!$C:$C=G16)*('配当金履歴一覧'!$B:$B=$B16))"),1300.0)</f>
        <v>1300</v>
      </c>
      <c r="I18" s="19"/>
      <c r="J18" s="20"/>
      <c r="K18" s="19"/>
      <c r="L18" s="20"/>
      <c r="M18" s="19"/>
      <c r="N18" s="20"/>
      <c r="O18" s="19"/>
      <c r="P18" s="20"/>
      <c r="Q18" s="19"/>
      <c r="R18" s="20"/>
      <c r="S18" s="19"/>
      <c r="T18" s="20"/>
      <c r="U18" s="19"/>
      <c r="V18" s="20"/>
      <c r="W18" s="19"/>
      <c r="X18" s="20"/>
      <c r="Y18" s="19"/>
      <c r="Z18" s="20"/>
    </row>
    <row r="19">
      <c r="A19" s="11">
        <v>1808.0</v>
      </c>
      <c r="B19" s="12" t="s">
        <v>13</v>
      </c>
      <c r="C19" s="13">
        <v>45444.0</v>
      </c>
      <c r="D19" s="5"/>
      <c r="E19" s="13">
        <v>45627.0</v>
      </c>
      <c r="F19" s="5"/>
      <c r="G19" s="13">
        <v>45809.0</v>
      </c>
      <c r="H19" s="5"/>
      <c r="I19" s="13">
        <v>45992.0</v>
      </c>
      <c r="J19" s="5"/>
      <c r="K19" s="13"/>
      <c r="L19" s="5"/>
      <c r="M19" s="13"/>
      <c r="N19" s="5"/>
      <c r="O19" s="13"/>
      <c r="P19" s="5"/>
      <c r="Q19" s="13"/>
      <c r="R19" s="5"/>
      <c r="S19" s="13"/>
      <c r="T19" s="5"/>
      <c r="U19" s="13"/>
      <c r="V19" s="5"/>
      <c r="W19" s="13"/>
      <c r="X19" s="5"/>
      <c r="Y19" s="13"/>
      <c r="Z19" s="5"/>
    </row>
    <row r="20">
      <c r="A20" s="6"/>
      <c r="B20" s="6"/>
      <c r="C20" s="15">
        <f>IFERROR(__xludf.DUMMYFUNCTION("FILTER('配当金履歴一覧'!$D:$D,('配当金履歴一覧'!$C:$C=C19)*('配当金履歴一覧'!$B:$B=$B19))"),45.0)</f>
        <v>45</v>
      </c>
      <c r="D20" s="5"/>
      <c r="E20" s="22">
        <f>IFERROR(__xludf.DUMMYFUNCTION("FILTER('配当金履歴一覧'!$D:$D,('配当金履歴一覧'!$C:$C=E19)*('配当金履歴一覧'!$B:$B=$B19))"),40.0)</f>
        <v>40</v>
      </c>
      <c r="F20" s="5"/>
      <c r="G20" s="22">
        <f>IFERROR(__xludf.DUMMYFUNCTION("FILTER('配当金履歴一覧'!$D:$D,('配当金履歴一覧'!$C:$C=G19)*('配当金履歴一覧'!$B:$B=$B19))"),45.0)</f>
        <v>45</v>
      </c>
      <c r="H20" s="5"/>
      <c r="I20" s="15">
        <f>IFERROR(__xludf.DUMMYFUNCTION("FILTER('配当金履歴一覧'!$D:$D,('配当金履歴一覧'!$C:$C=I19)*('配当金履歴一覧'!$B:$B=$B19))"),45.0)</f>
        <v>45</v>
      </c>
      <c r="J20" s="5"/>
      <c r="K20" s="21"/>
      <c r="L20" s="5"/>
      <c r="M20" s="21"/>
      <c r="N20" s="5"/>
      <c r="O20" s="21"/>
      <c r="P20" s="5"/>
      <c r="Q20" s="21"/>
      <c r="R20" s="5"/>
      <c r="S20" s="21"/>
      <c r="T20" s="5"/>
      <c r="U20" s="21"/>
      <c r="V20" s="5"/>
      <c r="W20" s="21"/>
      <c r="X20" s="5"/>
      <c r="Y20" s="21"/>
      <c r="Z20" s="5"/>
    </row>
    <row r="21">
      <c r="A21" s="6"/>
      <c r="B21" s="6"/>
      <c r="C21" s="17">
        <f>IFERROR(__xludf.DUMMYFUNCTION("FILTER('配当金履歴一覧'!$E:$E,('配当金履歴一覧'!$C:$C=C19)*('配当金履歴一覧'!$B:$B=$B19))"),8.0)</f>
        <v>8</v>
      </c>
      <c r="D21" s="18">
        <f>IFERROR(__xludf.DUMMYFUNCTION("FILTER('配当金履歴一覧'!$F:$F,('配当金履歴一覧'!$C:$C=C19)*('配当金履歴一覧'!$B:$B=$B19))"),287.0)</f>
        <v>287</v>
      </c>
      <c r="E21" s="17">
        <f>IFERROR(__xludf.DUMMYFUNCTION("FILTER('配当金履歴一覧'!$E:$E,('配当金履歴一覧'!$C:$C=E19)*('配当金履歴一覧'!$B:$B=$B19))"),8.0)</f>
        <v>8</v>
      </c>
      <c r="F21" s="18">
        <f>IFERROR(__xludf.DUMMYFUNCTION("FILTER('配当金履歴一覧'!$F:$F,('配当金履歴一覧'!$C:$C=E19)*('配当金履歴一覧'!$B:$B=$B19))"),255.0)</f>
        <v>255</v>
      </c>
      <c r="G21" s="17">
        <f>IFERROR(__xludf.DUMMYFUNCTION("FILTER('配当金履歴一覧'!$E:$E,('配当金履歴一覧'!$C:$C=G19)*('配当金履歴一覧'!$B:$B=$B19))"),8.0)</f>
        <v>8</v>
      </c>
      <c r="H21" s="18">
        <f>IFERROR(__xludf.DUMMYFUNCTION("FILTER('配当金履歴一覧'!$F:$F,('配当金履歴一覧'!$C:$C=G19)*('配当金履歴一覧'!$B:$B=$B19))"),287.0)</f>
        <v>287</v>
      </c>
      <c r="I21" s="17">
        <f>IFERROR(__xludf.DUMMYFUNCTION("FILTER('配当金履歴一覧'!$E:$E,('配当金履歴一覧'!$C:$C=I19)*('配当金履歴一覧'!$B:$B=$B19))"),8.0)</f>
        <v>8</v>
      </c>
      <c r="J21" s="18">
        <f>IFERROR(__xludf.DUMMYFUNCTION("FILTER('配当金履歴一覧'!$F:$F,('配当金履歴一覧'!$C:$C=I19)*('配当金履歴一覧'!$B:$B=$B19))"),287.0)</f>
        <v>287</v>
      </c>
      <c r="K21" s="17"/>
      <c r="L21" s="18"/>
      <c r="M21" s="17"/>
      <c r="N21" s="18"/>
      <c r="O21" s="17"/>
      <c r="P21" s="18"/>
      <c r="Q21" s="17"/>
      <c r="R21" s="18"/>
      <c r="S21" s="17"/>
      <c r="T21" s="18"/>
      <c r="U21" s="17"/>
      <c r="V21" s="18"/>
      <c r="W21" s="17"/>
      <c r="X21" s="18"/>
      <c r="Y21" s="17"/>
      <c r="Z21" s="18"/>
    </row>
    <row r="22">
      <c r="A22" s="9"/>
      <c r="B22" s="9"/>
      <c r="C22" s="19">
        <f>IFERROR(__xludf.DUMMYFUNCTION("FILTER('配当金履歴一覧'!$G:$G,('配当金履歴一覧'!$C:$C=C19)*('配当金履歴一覧'!$B:$B=$B19))"),0.0)</f>
        <v>0</v>
      </c>
      <c r="D22" s="20">
        <f>IFERROR(__xludf.DUMMYFUNCTION("FILTER('配当金履歴一覧'!$H:$H,('配当金履歴一覧'!$C:$C=C19)*('配当金履歴一覧'!$B:$B=$B19))"),0.0)</f>
        <v>0</v>
      </c>
      <c r="E22" s="19">
        <f>IFERROR(__xludf.DUMMYFUNCTION("FILTER('配当金履歴一覧'!$G:$G,('配当金履歴一覧'!$C:$C=E19)*('配当金履歴一覧'!$B:$B=$B19))"),4.0)</f>
        <v>4</v>
      </c>
      <c r="F22" s="20">
        <f>IFERROR(__xludf.DUMMYFUNCTION("FILTER('配当金履歴一覧'!$H:$H,('配当金履歴一覧'!$C:$C=E19)*('配当金履歴一覧'!$B:$B=$B19))"),160.0)</f>
        <v>160</v>
      </c>
      <c r="G22" s="19">
        <f>IFERROR(__xludf.DUMMYFUNCTION("FILTER('配当金履歴一覧'!$G:$G,('配当金履歴一覧'!$C:$C=G19)*('配当金履歴一覧'!$B:$B=$B19))"),6.0)</f>
        <v>6</v>
      </c>
      <c r="H22" s="20">
        <f>IFERROR(__xludf.DUMMYFUNCTION("FILTER('配当金履歴一覧'!$H:$H,('配当金履歴一覧'!$C:$C=G19)*('配当金履歴一覧'!$B:$B=$B19))"),270.0)</f>
        <v>270</v>
      </c>
      <c r="I22" s="19">
        <f>IFERROR(__xludf.DUMMYFUNCTION("FILTER('配当金履歴一覧'!$G:$G,('配当金履歴一覧'!$C:$C=I19)*('配当金履歴一覧'!$B:$B=$B19))"),6.0)</f>
        <v>6</v>
      </c>
      <c r="J22" s="20">
        <f>IFERROR(__xludf.DUMMYFUNCTION("FILTER('配当金履歴一覧'!$H:$H,('配当金履歴一覧'!$C:$C=I19)*('配当金履歴一覧'!$B:$B=$B19))"),270.0)</f>
        <v>270</v>
      </c>
      <c r="K22" s="19"/>
      <c r="L22" s="20"/>
      <c r="M22" s="19"/>
      <c r="N22" s="20"/>
      <c r="O22" s="19"/>
      <c r="P22" s="20"/>
      <c r="Q22" s="19"/>
      <c r="R22" s="20"/>
      <c r="S22" s="19"/>
      <c r="T22" s="20"/>
      <c r="U22" s="19"/>
      <c r="V22" s="20"/>
      <c r="W22" s="19"/>
      <c r="X22" s="20"/>
      <c r="Y22" s="19"/>
      <c r="Z22" s="20"/>
    </row>
    <row r="23">
      <c r="A23" s="11">
        <v>1911.0</v>
      </c>
      <c r="B23" s="12" t="s">
        <v>14</v>
      </c>
      <c r="C23" s="13">
        <v>45352.0</v>
      </c>
      <c r="D23" s="5"/>
      <c r="E23" s="13">
        <v>45536.0</v>
      </c>
      <c r="F23" s="5"/>
      <c r="G23" s="13">
        <v>45717.0</v>
      </c>
      <c r="H23" s="5"/>
      <c r="I23" s="13">
        <v>45901.0</v>
      </c>
      <c r="J23" s="5"/>
      <c r="K23" s="13"/>
      <c r="L23" s="5"/>
      <c r="M23" s="13"/>
      <c r="N23" s="5"/>
      <c r="O23" s="13"/>
      <c r="P23" s="5"/>
      <c r="Q23" s="13"/>
      <c r="R23" s="5"/>
      <c r="S23" s="13"/>
      <c r="T23" s="5"/>
      <c r="U23" s="13"/>
      <c r="V23" s="5"/>
      <c r="W23" s="13"/>
      <c r="X23" s="5"/>
      <c r="Y23" s="13"/>
      <c r="Z23" s="5"/>
    </row>
    <row r="24">
      <c r="A24" s="6"/>
      <c r="B24" s="6"/>
      <c r="C24" s="15">
        <f>IFERROR(__xludf.DUMMYFUNCTION("FILTER('配当金履歴一覧'!$D:$D,('配当金履歴一覧'!$C:$C=C23)*('配当金履歴一覧'!$B:$B=$B23))"),65.0)</f>
        <v>65</v>
      </c>
      <c r="D24" s="5"/>
      <c r="E24" s="15">
        <f>IFERROR(__xludf.DUMMYFUNCTION("FILTER('配当金履歴一覧'!$D:$D,('配当金履歴一覧'!$C:$C=E23)*('配当金履歴一覧'!$B:$B=$B23))"),65.0)</f>
        <v>65</v>
      </c>
      <c r="F24" s="5"/>
      <c r="G24" s="15">
        <f>IFERROR(__xludf.DUMMYFUNCTION("FILTER('配当金履歴一覧'!$D:$D,('配当金履歴一覧'!$C:$C=G23)*('配当金履歴一覧'!$B:$B=$B23))"),80.0)</f>
        <v>80</v>
      </c>
      <c r="H24" s="5"/>
      <c r="I24" s="15">
        <f>IFERROR(__xludf.DUMMYFUNCTION("FILTER('配当金履歴一覧'!$D:$D,('配当金履歴一覧'!$C:$C=I23)*('配当金履歴一覧'!$B:$B=$B23))"),75.0)</f>
        <v>75</v>
      </c>
      <c r="J24" s="5"/>
      <c r="K24" s="21"/>
      <c r="L24" s="5"/>
      <c r="M24" s="21"/>
      <c r="N24" s="5"/>
      <c r="O24" s="21"/>
      <c r="P24" s="5"/>
      <c r="Q24" s="21"/>
      <c r="R24" s="5"/>
      <c r="S24" s="21"/>
      <c r="T24" s="5"/>
      <c r="U24" s="21"/>
      <c r="V24" s="5"/>
      <c r="W24" s="21"/>
      <c r="X24" s="5"/>
      <c r="Y24" s="21"/>
      <c r="Z24" s="5"/>
    </row>
    <row r="25">
      <c r="A25" s="6"/>
      <c r="B25" s="6"/>
      <c r="C25" s="17">
        <f>IFERROR(__xludf.DUMMYFUNCTION("FILTER('配当金履歴一覧'!$E:$E,('配当金履歴一覧'!$C:$C=C23)*('配当金履歴一覧'!$B:$B=$B23))"),16.0)</f>
        <v>16</v>
      </c>
      <c r="D25" s="18">
        <f>IFERROR(__xludf.DUMMYFUNCTION("FILTER('配当金履歴一覧'!$F:$F,('配当金履歴一覧'!$C:$C=C23)*('配当金履歴一覧'!$B:$B=$B23))"),829.0)</f>
        <v>829</v>
      </c>
      <c r="E25" s="17">
        <f>IFERROR(__xludf.DUMMYFUNCTION("FILTER('配当金履歴一覧'!$E:$E,('配当金履歴一覧'!$C:$C=E23)*('配当金履歴一覧'!$B:$B=$B23))"),16.0)</f>
        <v>16</v>
      </c>
      <c r="F25" s="18">
        <f>IFERROR(__xludf.DUMMYFUNCTION("FILTER('配当金履歴一覧'!$F:$F,('配当金履歴一覧'!$C:$C=E23)*('配当金履歴一覧'!$B:$B=$B23))"),829.0)</f>
        <v>829</v>
      </c>
      <c r="G25" s="17">
        <f>IFERROR(__xludf.DUMMYFUNCTION("FILTER('配当金履歴一覧'!$E:$E,('配当金履歴一覧'!$C:$C=G23)*('配当金履歴一覧'!$B:$B=$B23))"),16.0)</f>
        <v>16</v>
      </c>
      <c r="H25" s="18">
        <f>IFERROR(__xludf.DUMMYFUNCTION("FILTER('配当金履歴一覧'!$F:$F,('配当金履歴一覧'!$C:$C=G23)*('配当金履歴一覧'!$B:$B=$B23))"),1020.0)</f>
        <v>1020</v>
      </c>
      <c r="I25" s="17">
        <f>IFERROR(__xludf.DUMMYFUNCTION("FILTER('配当金履歴一覧'!$E:$E,('配当金履歴一覧'!$C:$C=I23)*('配当金履歴一覧'!$B:$B=$B23))"),16.0)</f>
        <v>16</v>
      </c>
      <c r="J25" s="18">
        <f>IFERROR(__xludf.DUMMYFUNCTION("FILTER('配当金履歴一覧'!$F:$F,('配当金履歴一覧'!$C:$C=I23)*('配当金履歴一覧'!$B:$B=$B23))"),957.0)</f>
        <v>957</v>
      </c>
      <c r="K25" s="17"/>
      <c r="L25" s="18"/>
      <c r="M25" s="17"/>
      <c r="N25" s="18"/>
      <c r="O25" s="17"/>
      <c r="P25" s="18"/>
      <c r="Q25" s="17"/>
      <c r="R25" s="18"/>
      <c r="S25" s="17"/>
      <c r="T25" s="18"/>
      <c r="U25" s="17"/>
      <c r="V25" s="18"/>
      <c r="W25" s="17"/>
      <c r="X25" s="18"/>
      <c r="Y25" s="17"/>
      <c r="Z25" s="18"/>
    </row>
    <row r="26">
      <c r="A26" s="9"/>
      <c r="B26" s="9"/>
      <c r="C26" s="19">
        <f>IFERROR(__xludf.DUMMYFUNCTION("FILTER('配当金履歴一覧'!$G:$G,('配当金履歴一覧'!$C:$C=C23)*('配当金履歴一覧'!$B:$B=$B23))"),0.0)</f>
        <v>0</v>
      </c>
      <c r="D26" s="20">
        <f>IFERROR(__xludf.DUMMYFUNCTION("FILTER('配当金履歴一覧'!$H:$H,('配当金履歴一覧'!$C:$C=C23)*('配当金履歴一覧'!$B:$B=$B23))"),0.0)</f>
        <v>0</v>
      </c>
      <c r="E26" s="19">
        <f>IFERROR(__xludf.DUMMYFUNCTION("FILTER('配当金履歴一覧'!$G:$G,('配当金履歴一覧'!$C:$C=E23)*('配当金履歴一覧'!$B:$B=$B23))"),5.0)</f>
        <v>5</v>
      </c>
      <c r="F26" s="20">
        <f>IFERROR(__xludf.DUMMYFUNCTION("FILTER('配当金履歴一覧'!$H:$H,('配当金履歴一覧'!$C:$C=E23)*('配当金履歴一覧'!$B:$B=$B23))"),325.0)</f>
        <v>325</v>
      </c>
      <c r="G26" s="19">
        <f>IFERROR(__xludf.DUMMYFUNCTION("FILTER('配当金履歴一覧'!$G:$G,('配当金履歴一覧'!$C:$C=G23)*('配当金履歴一覧'!$B:$B=$B23))"),6.0)</f>
        <v>6</v>
      </c>
      <c r="H26" s="20">
        <f>IFERROR(__xludf.DUMMYFUNCTION("FILTER('配当金履歴一覧'!$H:$H,('配当金履歴一覧'!$C:$C=G23)*('配当金履歴一覧'!$B:$B=$B23))"),480.0)</f>
        <v>480</v>
      </c>
      <c r="I26" s="19">
        <f>IFERROR(__xludf.DUMMYFUNCTION("FILTER('配当金履歴一覧'!$G:$G,('配当金履歴一覧'!$C:$C=I23)*('配当金履歴一覧'!$B:$B=$B23))"),9.0)</f>
        <v>9</v>
      </c>
      <c r="J26" s="20">
        <f>IFERROR(__xludf.DUMMYFUNCTION("FILTER('配当金履歴一覧'!$H:$H,('配当金履歴一覧'!$C:$C=I23)*('配当金履歴一覧'!$B:$B=$B23))"),675.0)</f>
        <v>675</v>
      </c>
      <c r="K26" s="19"/>
      <c r="L26" s="20"/>
      <c r="M26" s="19"/>
      <c r="N26" s="20"/>
      <c r="O26" s="19"/>
      <c r="P26" s="20"/>
      <c r="Q26" s="19"/>
      <c r="R26" s="20"/>
      <c r="S26" s="19"/>
      <c r="T26" s="20"/>
      <c r="U26" s="19"/>
      <c r="V26" s="20"/>
      <c r="W26" s="19"/>
      <c r="X26" s="20"/>
      <c r="Y26" s="19"/>
      <c r="Z26" s="20"/>
    </row>
    <row r="27">
      <c r="A27" s="11">
        <v>1925.0</v>
      </c>
      <c r="B27" s="12" t="s">
        <v>15</v>
      </c>
      <c r="C27" s="13">
        <v>45444.0</v>
      </c>
      <c r="D27" s="5"/>
      <c r="E27" s="13">
        <v>45627.0</v>
      </c>
      <c r="F27" s="5"/>
      <c r="G27" s="13">
        <v>45809.0</v>
      </c>
      <c r="H27" s="5"/>
      <c r="I27" s="13">
        <v>45992.0</v>
      </c>
      <c r="J27" s="5"/>
      <c r="K27" s="13"/>
      <c r="L27" s="5"/>
      <c r="M27" s="13"/>
      <c r="N27" s="5"/>
      <c r="O27" s="13"/>
      <c r="P27" s="5"/>
      <c r="Q27" s="13"/>
      <c r="R27" s="5"/>
      <c r="S27" s="13"/>
      <c r="T27" s="5"/>
      <c r="U27" s="13"/>
      <c r="V27" s="5"/>
      <c r="W27" s="13"/>
      <c r="X27" s="5"/>
      <c r="Y27" s="13"/>
      <c r="Z27" s="5"/>
    </row>
    <row r="28">
      <c r="A28" s="6"/>
      <c r="B28" s="6"/>
      <c r="C28" s="15">
        <f>IFERROR(__xludf.DUMMYFUNCTION("FILTER('配当金履歴一覧'!$D:$D,('配当金履歴一覧'!$C:$C=C27)*('配当金履歴一覧'!$B:$B=$B27))"),80.0)</f>
        <v>80</v>
      </c>
      <c r="D28" s="5"/>
      <c r="E28" s="15">
        <f>IFERROR(__xludf.DUMMYFUNCTION("FILTER('配当金履歴一覧'!$D:$D,('配当金履歴一覧'!$C:$C=E27)*('配当金履歴一覧'!$B:$B=$B27))"),70.0)</f>
        <v>70</v>
      </c>
      <c r="F28" s="5"/>
      <c r="G28" s="22">
        <f>IFERROR(__xludf.DUMMYFUNCTION("FILTER('配当金履歴一覧'!$D:$D,('配当金履歴一覧'!$C:$C=G27)*('配当金履歴一覧'!$B:$B=$B27))"),80.0)</f>
        <v>80</v>
      </c>
      <c r="H28" s="5"/>
      <c r="I28" s="15">
        <f>IFERROR(__xludf.DUMMYFUNCTION("FILTER('配当金履歴一覧'!$D:$D,('配当金履歴一覧'!$C:$C=I27)*('配当金履歴一覧'!$B:$B=$B27))"),75.0)</f>
        <v>75</v>
      </c>
      <c r="J28" s="5"/>
      <c r="K28" s="21"/>
      <c r="L28" s="5"/>
      <c r="M28" s="21"/>
      <c r="N28" s="5"/>
      <c r="O28" s="21"/>
      <c r="P28" s="5"/>
      <c r="Q28" s="21"/>
      <c r="R28" s="5"/>
      <c r="S28" s="21"/>
      <c r="T28" s="5"/>
      <c r="U28" s="21"/>
      <c r="V28" s="5"/>
      <c r="W28" s="21"/>
      <c r="X28" s="5"/>
      <c r="Y28" s="21"/>
      <c r="Z28" s="5"/>
    </row>
    <row r="29">
      <c r="A29" s="6"/>
      <c r="B29" s="6"/>
      <c r="C29" s="17">
        <f>IFERROR(__xludf.DUMMYFUNCTION("FILTER('配当金履歴一覧'!$E:$E,('配当金履歴一覧'!$C:$C=C27)*('配当金履歴一覧'!$B:$B=$B27))"),8.0)</f>
        <v>8</v>
      </c>
      <c r="D29" s="18">
        <f>IFERROR(__xludf.DUMMYFUNCTION("FILTER('配当金履歴一覧'!$F:$F,('配当金履歴一覧'!$C:$C=C27)*('配当金履歴一覧'!$B:$B=$B27))"),510.0)</f>
        <v>510</v>
      </c>
      <c r="E29" s="17">
        <f>IFERROR(__xludf.DUMMYFUNCTION("FILTER('配当金履歴一覧'!$E:$E,('配当金履歴一覧'!$C:$C=E27)*('配当金履歴一覧'!$B:$B=$B27))"),8.0)</f>
        <v>8</v>
      </c>
      <c r="F29" s="18">
        <f>IFERROR(__xludf.DUMMYFUNCTION("FILTER('配当金履歴一覧'!$F:$F,('配当金履歴一覧'!$C:$C=E27)*('配当金履歴一覧'!$B:$B=$B27))"),447.0)</f>
        <v>447</v>
      </c>
      <c r="G29" s="17">
        <f>IFERROR(__xludf.DUMMYFUNCTION("FILTER('配当金履歴一覧'!$E:$E,('配当金履歴一覧'!$C:$C=G27)*('配当金履歴一覧'!$B:$B=$B27))"),8.0)</f>
        <v>8</v>
      </c>
      <c r="H29" s="18">
        <f>IFERROR(__xludf.DUMMYFUNCTION("FILTER('配当金履歴一覧'!$F:$F,('配当金履歴一覧'!$C:$C=G27)*('配当金履歴一覧'!$B:$B=$B27))"),510.0)</f>
        <v>510</v>
      </c>
      <c r="I29" s="17">
        <f>IFERROR(__xludf.DUMMYFUNCTION("FILTER('配当金履歴一覧'!$E:$E,('配当金履歴一覧'!$C:$C=I27)*('配当金履歴一覧'!$B:$B=$B27))"),8.0)</f>
        <v>8</v>
      </c>
      <c r="J29" s="18">
        <f>IFERROR(__xludf.DUMMYFUNCTION("FILTER('配当金履歴一覧'!$F:$F,('配当金履歴一覧'!$C:$C=I27)*('配当金履歴一覧'!$B:$B=$B27))"),479.0)</f>
        <v>479</v>
      </c>
      <c r="K29" s="17"/>
      <c r="L29" s="18"/>
      <c r="M29" s="17"/>
      <c r="N29" s="18"/>
      <c r="O29" s="17"/>
      <c r="P29" s="18"/>
      <c r="Q29" s="17"/>
      <c r="R29" s="18"/>
      <c r="S29" s="17"/>
      <c r="T29" s="18"/>
      <c r="U29" s="17"/>
      <c r="V29" s="18"/>
      <c r="W29" s="17"/>
      <c r="X29" s="18"/>
      <c r="Y29" s="17"/>
      <c r="Z29" s="18"/>
    </row>
    <row r="30">
      <c r="A30" s="9"/>
      <c r="B30" s="9"/>
      <c r="C30" s="19">
        <f>IFERROR(__xludf.DUMMYFUNCTION("FILTER('配当金履歴一覧'!$G:$G,('配当金履歴一覧'!$C:$C=C27)*('配当金履歴一覧'!$B:$B=$B27))"),1.0)</f>
        <v>1</v>
      </c>
      <c r="D30" s="20">
        <f>IFERROR(__xludf.DUMMYFUNCTION("FILTER('配当金履歴一覧'!$H:$H,('配当金履歴一覧'!$C:$C=C27)*('配当金履歴一覧'!$B:$B=$B27))"),80.0)</f>
        <v>80</v>
      </c>
      <c r="E30" s="19">
        <f>IFERROR(__xludf.DUMMYFUNCTION("FILTER('配当金履歴一覧'!$G:$G,('配当金履歴一覧'!$C:$C=E27)*('配当金履歴一覧'!$B:$B=$B27))"),5.0)</f>
        <v>5</v>
      </c>
      <c r="F30" s="20">
        <f>IFERROR(__xludf.DUMMYFUNCTION("FILTER('配当金履歴一覧'!$H:$H,('配当金履歴一覧'!$C:$C=E27)*('配当金履歴一覧'!$B:$B=$B27))"),350.0)</f>
        <v>350</v>
      </c>
      <c r="G30" s="19">
        <f>IFERROR(__xludf.DUMMYFUNCTION("FILTER('配当金履歴一覧'!$G:$G,('配当金履歴一覧'!$C:$C=G27)*('配当金履歴一覧'!$B:$B=$B27))"),5.0)</f>
        <v>5</v>
      </c>
      <c r="H30" s="20">
        <f>IFERROR(__xludf.DUMMYFUNCTION("FILTER('配当金履歴一覧'!$H:$H,('配当金履歴一覧'!$C:$C=G27)*('配当金履歴一覧'!$B:$B=$B27))"),400.0)</f>
        <v>400</v>
      </c>
      <c r="I30" s="19">
        <f>IFERROR(__xludf.DUMMYFUNCTION("FILTER('配当金履歴一覧'!$G:$G,('配当金履歴一覧'!$C:$C=I27)*('配当金履歴一覧'!$B:$B=$B27))"),5.0)</f>
        <v>5</v>
      </c>
      <c r="J30" s="20">
        <f>IFERROR(__xludf.DUMMYFUNCTION("FILTER('配当金履歴一覧'!$H:$H,('配当金履歴一覧'!$C:$C=I27)*('配当金履歴一覧'!$B:$B=$B27))"),375.0)</f>
        <v>375</v>
      </c>
      <c r="K30" s="19"/>
      <c r="L30" s="20"/>
      <c r="M30" s="19"/>
      <c r="N30" s="20"/>
      <c r="O30" s="19"/>
      <c r="P30" s="20"/>
      <c r="Q30" s="19"/>
      <c r="R30" s="20"/>
      <c r="S30" s="19"/>
      <c r="T30" s="20"/>
      <c r="U30" s="19"/>
      <c r="V30" s="20"/>
      <c r="W30" s="19"/>
      <c r="X30" s="20"/>
      <c r="Y30" s="19"/>
      <c r="Z30" s="20"/>
    </row>
    <row r="31">
      <c r="A31" s="11">
        <v>1928.0</v>
      </c>
      <c r="B31" s="12" t="s">
        <v>16</v>
      </c>
      <c r="C31" s="13">
        <v>45383.0</v>
      </c>
      <c r="D31" s="5"/>
      <c r="E31" s="13">
        <v>45536.0</v>
      </c>
      <c r="F31" s="5"/>
      <c r="G31" s="13">
        <v>45748.0</v>
      </c>
      <c r="H31" s="5"/>
      <c r="I31" s="13">
        <v>45901.0</v>
      </c>
      <c r="J31" s="5"/>
      <c r="K31" s="13"/>
      <c r="L31" s="5"/>
      <c r="M31" s="13"/>
      <c r="N31" s="5"/>
      <c r="O31" s="13"/>
      <c r="P31" s="5"/>
      <c r="Q31" s="13"/>
      <c r="R31" s="5"/>
      <c r="S31" s="13"/>
      <c r="T31" s="5"/>
      <c r="U31" s="13"/>
      <c r="V31" s="5"/>
      <c r="W31" s="13"/>
      <c r="X31" s="5"/>
      <c r="Y31" s="13"/>
      <c r="Z31" s="5"/>
    </row>
    <row r="32">
      <c r="A32" s="6"/>
      <c r="B32" s="6"/>
      <c r="C32" s="15">
        <f>IFERROR(__xludf.DUMMYFUNCTION("FILTER('配当金履歴一覧'!$D:$D,('配当金履歴一覧'!$C:$C=C31)*('配当金履歴一覧'!$B:$B=$B31))"),64.0)</f>
        <v>64</v>
      </c>
      <c r="D32" s="5"/>
      <c r="E32" s="15">
        <f>IFERROR(__xludf.DUMMYFUNCTION("FILTER('配当金履歴一覧'!$D:$D,('配当金履歴一覧'!$C:$C=E31)*('配当金履歴一覧'!$B:$B=$B31))"),64.0)</f>
        <v>64</v>
      </c>
      <c r="F32" s="5"/>
      <c r="G32" s="15">
        <f>IFERROR(__xludf.DUMMYFUNCTION("FILTER('配当金履歴一覧'!$D:$D,('配当金履歴一覧'!$C:$C=G31)*('配当金履歴一覧'!$B:$B=$B31))"),71.0)</f>
        <v>71</v>
      </c>
      <c r="H32" s="5"/>
      <c r="I32" s="15">
        <f>IFERROR(__xludf.DUMMYFUNCTION("FILTER('配当金履歴一覧'!$D:$D,('配当金履歴一覧'!$C:$C=I31)*('配当金履歴一覧'!$B:$B=$B31))"),72.0)</f>
        <v>72</v>
      </c>
      <c r="J32" s="5"/>
      <c r="K32" s="21"/>
      <c r="L32" s="5"/>
      <c r="M32" s="21"/>
      <c r="N32" s="5"/>
      <c r="O32" s="21"/>
      <c r="P32" s="5"/>
      <c r="Q32" s="21"/>
      <c r="R32" s="5"/>
      <c r="S32" s="21"/>
      <c r="T32" s="5"/>
      <c r="U32" s="21"/>
      <c r="V32" s="5"/>
      <c r="W32" s="21"/>
      <c r="X32" s="5"/>
      <c r="Y32" s="21"/>
      <c r="Z32" s="5"/>
    </row>
    <row r="33">
      <c r="A33" s="6"/>
      <c r="B33" s="6"/>
      <c r="C33" s="17">
        <f>IFERROR(__xludf.DUMMYFUNCTION("FILTER('配当金履歴一覧'!$E:$E,('配当金履歴一覧'!$C:$C=C31)*('配当金履歴一覧'!$B:$B=$B31))"),15.0)</f>
        <v>15</v>
      </c>
      <c r="D33" s="18">
        <f>IFERROR(__xludf.DUMMYFUNCTION("FILTER('配当金履歴一覧'!$F:$F,('配当金履歴一覧'!$C:$C=C31)*('配当金履歴一覧'!$B:$B=$B31))"),765.0)</f>
        <v>765</v>
      </c>
      <c r="E33" s="17">
        <f>IFERROR(__xludf.DUMMYFUNCTION("FILTER('配当金履歴一覧'!$E:$E,('配当金履歴一覧'!$C:$C=E31)*('配当金履歴一覧'!$B:$B=$B31))"),15.0)</f>
        <v>15</v>
      </c>
      <c r="F33" s="18">
        <f>IFERROR(__xludf.DUMMYFUNCTION("FILTER('配当金履歴一覧'!$F:$F,('配当金履歴一覧'!$C:$C=E31)*('配当金履歴一覧'!$B:$B=$B31))"),765.0)</f>
        <v>765</v>
      </c>
      <c r="G33" s="17">
        <f>IFERROR(__xludf.DUMMYFUNCTION("FILTER('配当金履歴一覧'!$E:$E,('配当金履歴一覧'!$C:$C=G31)*('配当金履歴一覧'!$B:$B=$B31))"),15.0)</f>
        <v>15</v>
      </c>
      <c r="H33" s="18">
        <f>IFERROR(__xludf.DUMMYFUNCTION("FILTER('配当金履歴一覧'!$F:$F,('配当金履歴一覧'!$C:$C=G31)*('配当金履歴一覧'!$B:$B=$B31))"),849.0)</f>
        <v>849</v>
      </c>
      <c r="I33" s="17">
        <f>IFERROR(__xludf.DUMMYFUNCTION("FILTER('配当金履歴一覧'!$E:$E,('配当金履歴一覧'!$C:$C=I31)*('配当金履歴一覧'!$B:$B=$B31))"),15.0)</f>
        <v>15</v>
      </c>
      <c r="J33" s="18">
        <f>IFERROR(__xludf.DUMMYFUNCTION("FILTER('配当金履歴一覧'!$F:$F,('配当金履歴一覧'!$C:$C=I31)*('配当金履歴一覧'!$B:$B=$B31))"),861.0)</f>
        <v>861</v>
      </c>
      <c r="K33" s="17"/>
      <c r="L33" s="18"/>
      <c r="M33" s="17"/>
      <c r="N33" s="18"/>
      <c r="O33" s="17"/>
      <c r="P33" s="18"/>
      <c r="Q33" s="17"/>
      <c r="R33" s="18"/>
      <c r="S33" s="17"/>
      <c r="T33" s="18"/>
      <c r="U33" s="17"/>
      <c r="V33" s="18"/>
      <c r="W33" s="17"/>
      <c r="X33" s="18"/>
      <c r="Y33" s="17"/>
      <c r="Z33" s="18"/>
    </row>
    <row r="34">
      <c r="A34" s="9"/>
      <c r="B34" s="9"/>
      <c r="C34" s="19">
        <f>IFERROR(__xludf.DUMMYFUNCTION("FILTER('配当金履歴一覧'!$G:$G,('配当金履歴一覧'!$C:$C=C31)*('配当金履歴一覧'!$B:$B=$B31))"),0.0)</f>
        <v>0</v>
      </c>
      <c r="D34" s="20">
        <f>IFERROR(__xludf.DUMMYFUNCTION("FILTER('配当金履歴一覧'!$H:$H,('配当金履歴一覧'!$C:$C=C31)*('配当金履歴一覧'!$B:$B=$B31))"),0.0)</f>
        <v>0</v>
      </c>
      <c r="E34" s="19">
        <f>IFERROR(__xludf.DUMMYFUNCTION("FILTER('配当金履歴一覧'!$G:$G,('配当金履歴一覧'!$C:$C=E31)*('配当金履歴一覧'!$B:$B=$B31))"),2.0)</f>
        <v>2</v>
      </c>
      <c r="F34" s="20">
        <f>IFERROR(__xludf.DUMMYFUNCTION("FILTER('配当金履歴一覧'!$H:$H,('配当金履歴一覧'!$C:$C=E31)*('配当金履歴一覧'!$B:$B=$B31))"),128.0)</f>
        <v>128</v>
      </c>
      <c r="G34" s="19">
        <f>IFERROR(__xludf.DUMMYFUNCTION("FILTER('配当金履歴一覧'!$G:$G,('配当金履歴一覧'!$C:$C=G31)*('配当金履歴一覧'!$B:$B=$B31))"),4.0)</f>
        <v>4</v>
      </c>
      <c r="H34" s="20">
        <f>IFERROR(__xludf.DUMMYFUNCTION("FILTER('配当金履歴一覧'!$H:$H,('配当金履歴一覧'!$C:$C=G31)*('配当金履歴一覧'!$B:$B=$B31))"),284.0)</f>
        <v>284</v>
      </c>
      <c r="I34" s="19">
        <f>IFERROR(__xludf.DUMMYFUNCTION("FILTER('配当金履歴一覧'!$G:$G,('配当金履歴一覧'!$C:$C=I31)*('配当金履歴一覧'!$B:$B=$B31))"),9.0)</f>
        <v>9</v>
      </c>
      <c r="J34" s="20">
        <f>IFERROR(__xludf.DUMMYFUNCTION("FILTER('配当金履歴一覧'!$H:$H,('配当金履歴一覧'!$C:$C=I31)*('配当金履歴一覧'!$B:$B=$B31))"),648.0)</f>
        <v>648</v>
      </c>
      <c r="K34" s="19"/>
      <c r="L34" s="20"/>
      <c r="M34" s="19"/>
      <c r="N34" s="20"/>
      <c r="O34" s="19"/>
      <c r="P34" s="20"/>
      <c r="Q34" s="19"/>
      <c r="R34" s="20"/>
      <c r="S34" s="19"/>
      <c r="T34" s="20"/>
      <c r="U34" s="19"/>
      <c r="V34" s="20"/>
      <c r="W34" s="19"/>
      <c r="X34" s="20"/>
      <c r="Y34" s="19"/>
      <c r="Z34" s="20"/>
    </row>
    <row r="35">
      <c r="A35" s="11">
        <v>2124.0</v>
      </c>
      <c r="B35" s="12" t="s">
        <v>17</v>
      </c>
      <c r="C35" s="13">
        <v>45352.0</v>
      </c>
      <c r="D35" s="5"/>
      <c r="E35" s="13">
        <v>45717.0</v>
      </c>
      <c r="F35" s="5"/>
      <c r="G35" s="13"/>
      <c r="H35" s="5"/>
      <c r="I35" s="13"/>
      <c r="J35" s="5"/>
      <c r="K35" s="13"/>
      <c r="L35" s="5"/>
      <c r="M35" s="13"/>
      <c r="N35" s="5"/>
      <c r="O35" s="13"/>
      <c r="P35" s="5"/>
      <c r="Q35" s="13"/>
      <c r="R35" s="5"/>
      <c r="S35" s="13"/>
      <c r="T35" s="5"/>
      <c r="U35" s="13"/>
      <c r="V35" s="5"/>
      <c r="W35" s="13"/>
      <c r="X35" s="5"/>
      <c r="Y35" s="13"/>
      <c r="Z35" s="5"/>
    </row>
    <row r="36">
      <c r="A36" s="6"/>
      <c r="B36" s="6"/>
      <c r="C36" s="15">
        <f>IFERROR(__xludf.DUMMYFUNCTION("FILTER('配当金履歴一覧'!$D:$D,('配当金履歴一覧'!$C:$C=C35)*('配当金履歴一覧'!$B:$B=$B35))"),90.0)</f>
        <v>90</v>
      </c>
      <c r="D36" s="5"/>
      <c r="E36" s="15">
        <f>IFERROR(__xludf.DUMMYFUNCTION("FILTER('配当金履歴一覧'!$D:$D,('配当金履歴一覧'!$C:$C=E35)*('配当金履歴一覧'!$B:$B=$B35))"),26.0)</f>
        <v>26</v>
      </c>
      <c r="F36" s="5"/>
      <c r="G36" s="21"/>
      <c r="H36" s="5"/>
      <c r="I36" s="21"/>
      <c r="J36" s="5"/>
      <c r="K36" s="21"/>
      <c r="L36" s="5"/>
      <c r="M36" s="21"/>
      <c r="N36" s="5"/>
      <c r="O36" s="21"/>
      <c r="P36" s="5"/>
      <c r="Q36" s="21"/>
      <c r="R36" s="5"/>
      <c r="S36" s="21"/>
      <c r="T36" s="5"/>
      <c r="U36" s="21"/>
      <c r="V36" s="5"/>
      <c r="W36" s="21"/>
      <c r="X36" s="5"/>
      <c r="Y36" s="21"/>
      <c r="Z36" s="5"/>
    </row>
    <row r="37">
      <c r="A37" s="6"/>
      <c r="B37" s="6"/>
      <c r="C37" s="17">
        <f>IFERROR(__xludf.DUMMYFUNCTION("FILTER('配当金履歴一覧'!$E:$E,('配当金履歴一覧'!$C:$C=C35)*('配当金履歴一覧'!$B:$B=$B35))"),16.0)</f>
        <v>16</v>
      </c>
      <c r="D37" s="18">
        <f>IFERROR(__xludf.DUMMYFUNCTION("FILTER('配当金履歴一覧'!$F:$F,('配当金履歴一覧'!$C:$C=C35)*('配当金履歴一覧'!$B:$B=$B35))"),1148.0)</f>
        <v>1148</v>
      </c>
      <c r="E37" s="17">
        <f>IFERROR(__xludf.DUMMYFUNCTION("FILTER('配当金履歴一覧'!$E:$E,('配当金履歴一覧'!$C:$C=E35)*('配当金履歴一覧'!$B:$B=$B35))"),64.0)</f>
        <v>64</v>
      </c>
      <c r="F37" s="18">
        <f>IFERROR(__xludf.DUMMYFUNCTION("FILTER('配当金履歴一覧'!$F:$F,('配当金履歴一覧'!$C:$C=E35)*('配当金履歴一覧'!$B:$B=$B35))"),1327.0)</f>
        <v>1327</v>
      </c>
      <c r="G37" s="17"/>
      <c r="H37" s="18"/>
      <c r="I37" s="17"/>
      <c r="J37" s="18"/>
      <c r="K37" s="17"/>
      <c r="L37" s="18"/>
      <c r="M37" s="17"/>
      <c r="N37" s="18"/>
      <c r="O37" s="17"/>
      <c r="P37" s="18"/>
      <c r="Q37" s="17"/>
      <c r="R37" s="18"/>
      <c r="S37" s="17"/>
      <c r="T37" s="18"/>
      <c r="U37" s="17"/>
      <c r="V37" s="18"/>
      <c r="W37" s="17"/>
      <c r="X37" s="18"/>
      <c r="Y37" s="17"/>
      <c r="Z37" s="18"/>
    </row>
    <row r="38">
      <c r="A38" s="9"/>
      <c r="B38" s="9"/>
      <c r="C38" s="19">
        <f>IFERROR(__xludf.DUMMYFUNCTION("FILTER('配当金履歴一覧'!$G:$G,('配当金履歴一覧'!$C:$C=C35)*('配当金履歴一覧'!$B:$B=$B35))"),0.0)</f>
        <v>0</v>
      </c>
      <c r="D38" s="20">
        <f>IFERROR(__xludf.DUMMYFUNCTION("FILTER('配当金履歴一覧'!$H:$H,('配当金履歴一覧'!$C:$C=C35)*('配当金履歴一覧'!$B:$B=$B35))"),0.0)</f>
        <v>0</v>
      </c>
      <c r="E38" s="19">
        <f>IFERROR(__xludf.DUMMYFUNCTION("FILTER('配当金履歴一覧'!$G:$G,('配当金履歴一覧'!$C:$C=E35)*('配当金履歴一覧'!$B:$B=$B35))"),10.0)</f>
        <v>10</v>
      </c>
      <c r="F38" s="20">
        <f>IFERROR(__xludf.DUMMYFUNCTION("FILTER('配当金履歴一覧'!$H:$H,('配当金履歴一覧'!$C:$C=E35)*('配当金履歴一覧'!$B:$B=$B35))"),260.0)</f>
        <v>260</v>
      </c>
      <c r="G38" s="19"/>
      <c r="H38" s="20"/>
      <c r="I38" s="19"/>
      <c r="J38" s="20"/>
      <c r="K38" s="19"/>
      <c r="L38" s="20"/>
      <c r="M38" s="19"/>
      <c r="N38" s="20"/>
      <c r="O38" s="19"/>
      <c r="P38" s="20"/>
      <c r="Q38" s="19"/>
      <c r="R38" s="20"/>
      <c r="S38" s="19"/>
      <c r="T38" s="20"/>
      <c r="U38" s="19"/>
      <c r="V38" s="20"/>
      <c r="W38" s="19"/>
      <c r="X38" s="20"/>
      <c r="Y38" s="19"/>
      <c r="Z38" s="20"/>
    </row>
    <row r="39">
      <c r="A39" s="11">
        <v>2503.0</v>
      </c>
      <c r="B39" s="12" t="s">
        <v>18</v>
      </c>
      <c r="C39" s="13">
        <v>45352.0</v>
      </c>
      <c r="D39" s="5"/>
      <c r="E39" s="13">
        <v>45536.0</v>
      </c>
      <c r="F39" s="5"/>
      <c r="G39" s="13">
        <v>45717.0</v>
      </c>
      <c r="H39" s="5"/>
      <c r="I39" s="13">
        <v>45901.0</v>
      </c>
      <c r="J39" s="5"/>
      <c r="K39" s="13"/>
      <c r="L39" s="5"/>
      <c r="M39" s="13"/>
      <c r="N39" s="5"/>
      <c r="O39" s="13"/>
      <c r="P39" s="5"/>
      <c r="Q39" s="13"/>
      <c r="R39" s="5"/>
      <c r="S39" s="13"/>
      <c r="T39" s="5"/>
      <c r="U39" s="13"/>
      <c r="V39" s="5"/>
      <c r="W39" s="13"/>
      <c r="X39" s="5"/>
      <c r="Y39" s="13"/>
      <c r="Z39" s="5"/>
    </row>
    <row r="40">
      <c r="A40" s="6"/>
      <c r="B40" s="6"/>
      <c r="C40" s="22">
        <f>IFERROR(__xludf.DUMMYFUNCTION("FILTER('配当金履歴一覧'!$D:$D,('配当金履歴一覧'!$C:$C=C39)*('配当金履歴一覧'!$B:$B=$B39))"),36.5)</f>
        <v>36.5</v>
      </c>
      <c r="D40" s="5"/>
      <c r="E40" s="15">
        <f>IFERROR(__xludf.DUMMYFUNCTION("FILTER('配当金履歴一覧'!$D:$D,('配当金履歴一覧'!$C:$C=E39)*('配当金履歴一覧'!$B:$B=$B39))"),35.5)</f>
        <v>35.5</v>
      </c>
      <c r="F40" s="5"/>
      <c r="G40" s="14">
        <f>IFERROR(__xludf.DUMMYFUNCTION("FILTER('配当金履歴一覧'!$D:$D,('配当金履歴一覧'!$C:$C=G39)*('配当金履歴一覧'!$B:$B=$B39))"),35.5)</f>
        <v>35.5</v>
      </c>
      <c r="H40" s="5"/>
      <c r="I40" s="15">
        <f>IFERROR(__xludf.DUMMYFUNCTION("FILTER('配当金履歴一覧'!$D:$D,('配当金履歴一覧'!$C:$C=I39)*('配当金履歴一覧'!$B:$B=$B39))"),37.0)</f>
        <v>37</v>
      </c>
      <c r="J40" s="5"/>
      <c r="K40" s="21"/>
      <c r="L40" s="5"/>
      <c r="M40" s="21"/>
      <c r="N40" s="5"/>
      <c r="O40" s="21"/>
      <c r="P40" s="5"/>
      <c r="Q40" s="21"/>
      <c r="R40" s="5"/>
      <c r="S40" s="21"/>
      <c r="T40" s="5"/>
      <c r="U40" s="21"/>
      <c r="V40" s="5"/>
      <c r="W40" s="21"/>
      <c r="X40" s="5"/>
      <c r="Y40" s="21"/>
      <c r="Z40" s="5"/>
    </row>
    <row r="41">
      <c r="A41" s="6"/>
      <c r="B41" s="6"/>
      <c r="C41" s="17">
        <f>IFERROR(__xludf.DUMMYFUNCTION("FILTER('配当金履歴一覧'!$E:$E,('配当金履歴一覧'!$C:$C=C39)*('配当金履歴一覧'!$B:$B=$B39))"),9.0)</f>
        <v>9</v>
      </c>
      <c r="D41" s="18">
        <f>IFERROR(__xludf.DUMMYFUNCTION("FILTER('配当金履歴一覧'!$F:$F,('配当金履歴一覧'!$C:$C=C39)*('配当金履歴一覧'!$B:$B=$B39))"),262.0)</f>
        <v>262</v>
      </c>
      <c r="E41" s="17">
        <f>IFERROR(__xludf.DUMMYFUNCTION("FILTER('配当金履歴一覧'!$E:$E,('配当金履歴一覧'!$C:$C=E39)*('配当金履歴一覧'!$B:$B=$B39))"),9.0)</f>
        <v>9</v>
      </c>
      <c r="F41" s="18">
        <f>IFERROR(__xludf.DUMMYFUNCTION("FILTER('配当金履歴一覧'!$F:$F,('配当金履歴一覧'!$C:$C=E39)*('配当金履歴一覧'!$B:$B=$B39))"),256.0)</f>
        <v>256</v>
      </c>
      <c r="G41" s="17">
        <f>IFERROR(__xludf.DUMMYFUNCTION("FILTER('配当金履歴一覧'!$E:$E,('配当金履歴一覧'!$C:$C=G39)*('配当金履歴一覧'!$B:$B=$B39))"),9.0)</f>
        <v>9</v>
      </c>
      <c r="H41" s="18">
        <f>IFERROR(__xludf.DUMMYFUNCTION("FILTER('配当金履歴一覧'!$F:$F,('配当金履歴一覧'!$C:$C=G39)*('配当金履歴一覧'!$B:$B=$B39))"),256.0)</f>
        <v>256</v>
      </c>
      <c r="I41" s="17">
        <f>IFERROR(__xludf.DUMMYFUNCTION("FILTER('配当金履歴一覧'!$E:$E,('配当金履歴一覧'!$C:$C=I39)*('配当金履歴一覧'!$B:$B=$B39))"),9.0)</f>
        <v>9</v>
      </c>
      <c r="J41" s="18">
        <f>IFERROR(__xludf.DUMMYFUNCTION("FILTER('配当金履歴一覧'!$F:$F,('配当金履歴一覧'!$C:$C=I39)*('配当金履歴一覧'!$B:$B=$B39))"),267.0)</f>
        <v>267</v>
      </c>
      <c r="K41" s="17"/>
      <c r="L41" s="18"/>
      <c r="M41" s="17"/>
      <c r="N41" s="18"/>
      <c r="O41" s="17"/>
      <c r="P41" s="18"/>
      <c r="Q41" s="17"/>
      <c r="R41" s="18"/>
      <c r="S41" s="17"/>
      <c r="T41" s="18"/>
      <c r="U41" s="17"/>
      <c r="V41" s="18"/>
      <c r="W41" s="17"/>
      <c r="X41" s="18"/>
      <c r="Y41" s="17"/>
      <c r="Z41" s="18"/>
    </row>
    <row r="42">
      <c r="A42" s="9"/>
      <c r="B42" s="9"/>
      <c r="C42" s="19">
        <f>IFERROR(__xludf.DUMMYFUNCTION("FILTER('配当金履歴一覧'!$G:$G,('配当金履歴一覧'!$C:$C=C39)*('配当金履歴一覧'!$B:$B=$B39))"),0.0)</f>
        <v>0</v>
      </c>
      <c r="D42" s="20">
        <f>IFERROR(__xludf.DUMMYFUNCTION("FILTER('配当金履歴一覧'!$H:$H,('配当金履歴一覧'!$C:$C=C39)*('配当金履歴一覧'!$B:$B=$B39))"),0.0)</f>
        <v>0</v>
      </c>
      <c r="E42" s="19">
        <f>IFERROR(__xludf.DUMMYFUNCTION("FILTER('配当金履歴一覧'!$G:$G,('配当金履歴一覧'!$C:$C=E39)*('配当金履歴一覧'!$B:$B=$B39))"),2.0)</f>
        <v>2</v>
      </c>
      <c r="F42" s="20">
        <f>IFERROR(__xludf.DUMMYFUNCTION("FILTER('配当金履歴一覧'!$H:$H,('配当金履歴一覧'!$C:$C=E39)*('配当金履歴一覧'!$B:$B=$B39))"),72.0)</f>
        <v>72</v>
      </c>
      <c r="G42" s="19">
        <f>IFERROR(__xludf.DUMMYFUNCTION("FILTER('配当金履歴一覧'!$G:$G,('配当金履歴一覧'!$C:$C=G39)*('配当金履歴一覧'!$B:$B=$B39))"),2.0)</f>
        <v>2</v>
      </c>
      <c r="H42" s="20">
        <f>IFERROR(__xludf.DUMMYFUNCTION("FILTER('配当金履歴一覧'!$H:$H,('配当金履歴一覧'!$C:$C=G39)*('配当金履歴一覧'!$B:$B=$B39))"),72.0)</f>
        <v>72</v>
      </c>
      <c r="I42" s="19">
        <f>IFERROR(__xludf.DUMMYFUNCTION("FILTER('配当金履歴一覧'!$G:$G,('配当金履歴一覧'!$C:$C=I39)*('配当金履歴一覧'!$B:$B=$B39))"),4.0)</f>
        <v>4</v>
      </c>
      <c r="J42" s="20">
        <f>IFERROR(__xludf.DUMMYFUNCTION("FILTER('配当金履歴一覧'!$H:$H,('配当金履歴一覧'!$C:$C=I39)*('配当金履歴一覧'!$B:$B=$B39))"),148.0)</f>
        <v>148</v>
      </c>
      <c r="K42" s="19"/>
      <c r="L42" s="20"/>
      <c r="M42" s="19"/>
      <c r="N42" s="20"/>
      <c r="O42" s="19"/>
      <c r="P42" s="20"/>
      <c r="Q42" s="19"/>
      <c r="R42" s="20"/>
      <c r="S42" s="19"/>
      <c r="T42" s="20"/>
      <c r="U42" s="19"/>
      <c r="V42" s="20"/>
      <c r="W42" s="19"/>
      <c r="X42" s="20"/>
      <c r="Y42" s="19"/>
      <c r="Z42" s="20"/>
    </row>
    <row r="43">
      <c r="A43" s="11">
        <v>2768.0</v>
      </c>
      <c r="B43" s="12" t="s">
        <v>19</v>
      </c>
      <c r="C43" s="13">
        <v>45444.0</v>
      </c>
      <c r="D43" s="5"/>
      <c r="E43" s="13">
        <v>45627.0</v>
      </c>
      <c r="F43" s="5"/>
      <c r="G43" s="13">
        <v>45809.0</v>
      </c>
      <c r="H43" s="5"/>
      <c r="I43" s="13">
        <v>45992.0</v>
      </c>
      <c r="J43" s="5"/>
      <c r="K43" s="13"/>
      <c r="L43" s="5"/>
      <c r="M43" s="13"/>
      <c r="N43" s="5"/>
      <c r="O43" s="13"/>
      <c r="P43" s="5"/>
      <c r="Q43" s="13"/>
      <c r="R43" s="5"/>
      <c r="S43" s="13"/>
      <c r="T43" s="5"/>
      <c r="U43" s="13"/>
      <c r="V43" s="5"/>
      <c r="W43" s="13"/>
      <c r="X43" s="5"/>
      <c r="Y43" s="13"/>
      <c r="Z43" s="5"/>
    </row>
    <row r="44">
      <c r="A44" s="6"/>
      <c r="B44" s="6"/>
      <c r="C44" s="15">
        <f>IFERROR(__xludf.DUMMYFUNCTION("FILTER('配当金履歴一覧'!$D:$D,('配当金履歴一覧'!$C:$C=C43)*('配当金履歴一覧'!$B:$B=$B43))"),70.0)</f>
        <v>70</v>
      </c>
      <c r="D44" s="5"/>
      <c r="E44" s="15">
        <f>IFERROR(__xludf.DUMMYFUNCTION("FILTER('配当金履歴一覧'!$D:$D,('配当金履歴一覧'!$C:$C=E43)*('配当金履歴一覧'!$B:$B=$B43))"),75.0)</f>
        <v>75</v>
      </c>
      <c r="F44" s="5"/>
      <c r="G44" s="15">
        <f>IFERROR(__xludf.DUMMYFUNCTION("FILTER('配当金履歴一覧'!$D:$D,('配当金履歴一覧'!$C:$C=G43)*('配当金履歴一覧'!$B:$B=$B43))"),75.0)</f>
        <v>75</v>
      </c>
      <c r="H44" s="5"/>
      <c r="I44" s="15">
        <f>IFERROR(__xludf.DUMMYFUNCTION("FILTER('配当金履歴一覧'!$D:$D,('配当金履歴一覧'!$C:$C=I43)*('配当金履歴一覧'!$B:$B=$B43))"),82.5)</f>
        <v>82.5</v>
      </c>
      <c r="J44" s="5"/>
      <c r="K44" s="21"/>
      <c r="L44" s="5"/>
      <c r="M44" s="21"/>
      <c r="N44" s="5"/>
      <c r="O44" s="21"/>
      <c r="P44" s="5"/>
      <c r="Q44" s="21"/>
      <c r="R44" s="5"/>
      <c r="S44" s="21"/>
      <c r="T44" s="5"/>
      <c r="U44" s="21"/>
      <c r="V44" s="5"/>
      <c r="W44" s="21"/>
      <c r="X44" s="5"/>
      <c r="Y44" s="21"/>
      <c r="Z44" s="5"/>
    </row>
    <row r="45">
      <c r="A45" s="6"/>
      <c r="B45" s="6"/>
      <c r="C45" s="17">
        <f>IFERROR(__xludf.DUMMYFUNCTION("FILTER('配当金履歴一覧'!$E:$E,('配当金履歴一覧'!$C:$C=C43)*('配当金履歴一覧'!$B:$B=$B43))"),17.0)</f>
        <v>17</v>
      </c>
      <c r="D45" s="18">
        <f>IFERROR(__xludf.DUMMYFUNCTION("FILTER('配当金履歴一覧'!$F:$F,('配当金履歴一覧'!$C:$C=C43)*('配当金履歴一覧'!$B:$B=$B43))"),949.0)</f>
        <v>949</v>
      </c>
      <c r="E45" s="17">
        <f>IFERROR(__xludf.DUMMYFUNCTION("FILTER('配当金履歴一覧'!$E:$E,('配当金履歴一覧'!$C:$C=E43)*('配当金履歴一覧'!$B:$B=$B43))"),17.0)</f>
        <v>17</v>
      </c>
      <c r="F45" s="18">
        <f>IFERROR(__xludf.DUMMYFUNCTION("FILTER('配当金履歴一覧'!$F:$F,('配当金履歴一覧'!$C:$C=E43)*('配当金履歴一覧'!$B:$B=$B43))"),1017.0)</f>
        <v>1017</v>
      </c>
      <c r="G45" s="17">
        <f>IFERROR(__xludf.DUMMYFUNCTION("FILTER('配当金履歴一覧'!$E:$E,('配当金履歴一覧'!$C:$C=G43)*('配当金履歴一覧'!$B:$B=$B43))"),17.0)</f>
        <v>17</v>
      </c>
      <c r="H45" s="18">
        <f>IFERROR(__xludf.DUMMYFUNCTION("FILTER('配当金履歴一覧'!$F:$F,('配当金履歴一覧'!$C:$C=G43)*('配当金履歴一覧'!$B:$B=$B43))"),1017.0)</f>
        <v>1017</v>
      </c>
      <c r="I45" s="17">
        <f>IFERROR(__xludf.DUMMYFUNCTION("FILTER('配当金履歴一覧'!$E:$E,('配当金履歴一覧'!$C:$C=I43)*('配当金履歴一覧'!$B:$B=$B43))"),17.0)</f>
        <v>17</v>
      </c>
      <c r="J45" s="18">
        <f>IFERROR(__xludf.DUMMYFUNCTION("FILTER('配当金履歴一覧'!$F:$F,('配当金履歴一覧'!$C:$C=I43)*('配当金履歴一覧'!$B:$B=$B43))"),1118.0)</f>
        <v>1118</v>
      </c>
      <c r="K45" s="17"/>
      <c r="L45" s="18"/>
      <c r="M45" s="17"/>
      <c r="N45" s="18"/>
      <c r="O45" s="17"/>
      <c r="P45" s="18"/>
      <c r="Q45" s="17"/>
      <c r="R45" s="18"/>
      <c r="S45" s="17"/>
      <c r="T45" s="18"/>
      <c r="U45" s="17"/>
      <c r="V45" s="18"/>
      <c r="W45" s="17"/>
      <c r="X45" s="18"/>
      <c r="Y45" s="17"/>
      <c r="Z45" s="18"/>
    </row>
    <row r="46">
      <c r="A46" s="9"/>
      <c r="B46" s="9"/>
      <c r="C46" s="19">
        <f>IFERROR(__xludf.DUMMYFUNCTION("FILTER('配当金履歴一覧'!$G:$G,('配当金履歴一覧'!$C:$C=C43)*('配当金履歴一覧'!$B:$B=$B43))"),0.0)</f>
        <v>0</v>
      </c>
      <c r="D46" s="20">
        <f>IFERROR(__xludf.DUMMYFUNCTION("FILTER('配当金履歴一覧'!$H:$H,('配当金履歴一覧'!$C:$C=C43)*('配当金履歴一覧'!$B:$B=$B43))"),0.0)</f>
        <v>0</v>
      </c>
      <c r="E46" s="19">
        <f>IFERROR(__xludf.DUMMYFUNCTION("FILTER('配当金履歴一覧'!$G:$G,('配当金履歴一覧'!$C:$C=E43)*('配当金履歴一覧'!$B:$B=$B43))"),7.0)</f>
        <v>7</v>
      </c>
      <c r="F46" s="20">
        <f>IFERROR(__xludf.DUMMYFUNCTION("FILTER('配当金履歴一覧'!$H:$H,('配当金履歴一覧'!$C:$C=E43)*('配当金履歴一覧'!$B:$B=$B43))"),525.0)</f>
        <v>525</v>
      </c>
      <c r="G46" s="19">
        <f>IFERROR(__xludf.DUMMYFUNCTION("FILTER('配当金履歴一覧'!$G:$G,('配当金履歴一覧'!$C:$C=G43)*('配当金履歴一覧'!$B:$B=$B43))"),10.0)</f>
        <v>10</v>
      </c>
      <c r="H46" s="20">
        <f>IFERROR(__xludf.DUMMYFUNCTION("FILTER('配当金履歴一覧'!$H:$H,('配当金履歴一覧'!$C:$C=G43)*('配当金履歴一覧'!$B:$B=$B43))"),750.0)</f>
        <v>750</v>
      </c>
      <c r="I46" s="19">
        <f>IFERROR(__xludf.DUMMYFUNCTION("FILTER('配当金履歴一覧'!$G:$G,('配当金履歴一覧'!$C:$C=I43)*('配当金履歴一覧'!$B:$B=$B43))"),13.0)</f>
        <v>13</v>
      </c>
      <c r="J46" s="20">
        <f>IFERROR(__xludf.DUMMYFUNCTION("FILTER('配当金履歴一覧'!$H:$H,('配当金履歴一覧'!$C:$C=I43)*('配当金履歴一覧'!$B:$B=$B43))"),1073.0)</f>
        <v>1073</v>
      </c>
      <c r="K46" s="19"/>
      <c r="L46" s="20"/>
      <c r="M46" s="19"/>
      <c r="N46" s="20"/>
      <c r="O46" s="19"/>
      <c r="P46" s="20"/>
      <c r="Q46" s="19"/>
      <c r="R46" s="20"/>
      <c r="S46" s="19"/>
      <c r="T46" s="20"/>
      <c r="U46" s="19"/>
      <c r="V46" s="20"/>
      <c r="W46" s="19"/>
      <c r="X46" s="20"/>
      <c r="Y46" s="19"/>
      <c r="Z46" s="20"/>
    </row>
    <row r="47">
      <c r="A47" s="11">
        <v>2914.0</v>
      </c>
      <c r="B47" s="12" t="s">
        <v>20</v>
      </c>
      <c r="C47" s="13">
        <v>45536.0</v>
      </c>
      <c r="D47" s="5"/>
      <c r="E47" s="13">
        <v>45717.0</v>
      </c>
      <c r="F47" s="5"/>
      <c r="G47" s="13">
        <v>45901.0</v>
      </c>
      <c r="H47" s="5"/>
      <c r="I47" s="13"/>
      <c r="J47" s="5"/>
      <c r="K47" s="13"/>
      <c r="L47" s="5"/>
      <c r="M47" s="13"/>
      <c r="N47" s="5"/>
      <c r="O47" s="13"/>
      <c r="P47" s="5"/>
      <c r="Q47" s="13"/>
      <c r="R47" s="5"/>
      <c r="S47" s="13"/>
      <c r="T47" s="5"/>
      <c r="U47" s="13"/>
      <c r="V47" s="5"/>
      <c r="W47" s="13"/>
      <c r="X47" s="5"/>
      <c r="Y47" s="13"/>
      <c r="Z47" s="5"/>
    </row>
    <row r="48">
      <c r="A48" s="6"/>
      <c r="B48" s="6"/>
      <c r="C48" s="15">
        <f>IFERROR(__xludf.DUMMYFUNCTION("FILTER('配当金履歴一覧'!$D:$D,('配当金履歴一覧'!$C:$C=C47)*('配当金履歴一覧'!$B:$B=$B47))"),97.0)</f>
        <v>97</v>
      </c>
      <c r="D48" s="5"/>
      <c r="E48" s="14">
        <f>IFERROR(__xludf.DUMMYFUNCTION("FILTER('配当金履歴一覧'!$D:$D,('配当金履歴一覧'!$C:$C=E47)*('配当金履歴一覧'!$B:$B=$B47))"),97.0)</f>
        <v>97</v>
      </c>
      <c r="F48" s="5"/>
      <c r="G48" s="15">
        <f>IFERROR(__xludf.DUMMYFUNCTION("FILTER('配当金履歴一覧'!$D:$D,('配当金履歴一覧'!$C:$C=G47)*('配当金履歴一覧'!$B:$B=$B47))"),104.0)</f>
        <v>104</v>
      </c>
      <c r="H48" s="5"/>
      <c r="I48" s="21"/>
      <c r="J48" s="5"/>
      <c r="K48" s="21"/>
      <c r="L48" s="5"/>
      <c r="M48" s="21"/>
      <c r="N48" s="5"/>
      <c r="O48" s="21"/>
      <c r="P48" s="5"/>
      <c r="Q48" s="21"/>
      <c r="R48" s="5"/>
      <c r="S48" s="21"/>
      <c r="T48" s="5"/>
      <c r="U48" s="21"/>
      <c r="V48" s="5"/>
      <c r="W48" s="21"/>
      <c r="X48" s="5"/>
      <c r="Y48" s="21"/>
      <c r="Z48" s="5"/>
    </row>
    <row r="49">
      <c r="A49" s="9"/>
      <c r="B49" s="9"/>
      <c r="C49" s="19">
        <f>IFERROR(__xludf.DUMMYFUNCTION("FILTER('配当金履歴一覧'!$G:$G,('配当金履歴一覧'!$C:$C=C47)*('配当金履歴一覧'!$B:$B=$B47))"),3.0)</f>
        <v>3</v>
      </c>
      <c r="D49" s="20">
        <f>IFERROR(__xludf.DUMMYFUNCTION("FILTER('配当金履歴一覧'!$H:$H,('配当金履歴一覧'!$C:$C=C47)*('配当金履歴一覧'!$B:$B=$B47))"),291.0)</f>
        <v>291</v>
      </c>
      <c r="E49" s="19">
        <f>IFERROR(__xludf.DUMMYFUNCTION("FILTER('配当金履歴一覧'!$G:$G,('配当金履歴一覧'!$C:$C=E47)*('配当金履歴一覧'!$B:$B=$B47))"),5.0)</f>
        <v>5</v>
      </c>
      <c r="F49" s="20">
        <f>IFERROR(__xludf.DUMMYFUNCTION("FILTER('配当金履歴一覧'!$H:$H,('配当金履歴一覧'!$C:$C=E47)*('配当金履歴一覧'!$B:$B=$B47))"),485.0)</f>
        <v>485</v>
      </c>
      <c r="G49" s="19">
        <f>IFERROR(__xludf.DUMMYFUNCTION("FILTER('配当金履歴一覧'!$G:$G,('配当金履歴一覧'!$C:$C=G47)*('配当金履歴一覧'!$B:$B=$B47))"),6.0)</f>
        <v>6</v>
      </c>
      <c r="H49" s="20">
        <f>IFERROR(__xludf.DUMMYFUNCTION("FILTER('配当金履歴一覧'!$H:$H,('配当金履歴一覧'!$C:$C=G47)*('配当金履歴一覧'!$B:$B=$B47))"),624.0)</f>
        <v>624</v>
      </c>
      <c r="I49" s="19"/>
      <c r="J49" s="20"/>
      <c r="K49" s="19"/>
      <c r="L49" s="20"/>
      <c r="M49" s="19"/>
      <c r="N49" s="20"/>
      <c r="O49" s="19"/>
      <c r="P49" s="20"/>
      <c r="Q49" s="19"/>
      <c r="R49" s="20"/>
      <c r="S49" s="19"/>
      <c r="T49" s="20"/>
      <c r="U49" s="19"/>
      <c r="V49" s="20"/>
      <c r="W49" s="19"/>
      <c r="X49" s="20"/>
      <c r="Y49" s="19"/>
      <c r="Z49" s="20"/>
    </row>
    <row r="50">
      <c r="A50" s="11">
        <v>3003.0</v>
      </c>
      <c r="B50" s="12" t="s">
        <v>21</v>
      </c>
      <c r="C50" s="13">
        <v>45536.0</v>
      </c>
      <c r="D50" s="5"/>
      <c r="E50" s="13">
        <v>45717.0</v>
      </c>
      <c r="F50" s="5"/>
      <c r="G50" s="13">
        <v>45901.0</v>
      </c>
      <c r="H50" s="5"/>
      <c r="I50" s="13"/>
      <c r="J50" s="5"/>
      <c r="K50" s="13"/>
      <c r="L50" s="5"/>
      <c r="M50" s="13"/>
      <c r="N50" s="5"/>
      <c r="O50" s="13"/>
      <c r="P50" s="5"/>
      <c r="Q50" s="13"/>
      <c r="R50" s="5"/>
      <c r="S50" s="13"/>
      <c r="T50" s="5"/>
      <c r="U50" s="13"/>
      <c r="V50" s="5"/>
      <c r="W50" s="13"/>
      <c r="X50" s="5"/>
      <c r="Y50" s="13"/>
      <c r="Z50" s="5"/>
    </row>
    <row r="51">
      <c r="A51" s="6"/>
      <c r="B51" s="6"/>
      <c r="C51" s="15">
        <f>IFERROR(__xludf.DUMMYFUNCTION("FILTER('配当金履歴一覧'!$D:$D,('配当金履歴一覧'!$C:$C=C50)*('配当金履歴一覧'!$B:$B=$B50))"),26.0)</f>
        <v>26</v>
      </c>
      <c r="D51" s="5"/>
      <c r="E51" s="15">
        <f>IFERROR(__xludf.DUMMYFUNCTION("FILTER('配当金履歴一覧'!$D:$D,('配当金履歴一覧'!$C:$C=E50)*('配当金履歴一覧'!$B:$B=$B50))"),28.0)</f>
        <v>28</v>
      </c>
      <c r="F51" s="5"/>
      <c r="G51" s="15">
        <f>IFERROR(__xludf.DUMMYFUNCTION("FILTER('配当金履歴一覧'!$D:$D,('配当金履歴一覧'!$C:$C=G50)*('配当金履歴一覧'!$B:$B=$B50))"),28.5)</f>
        <v>28.5</v>
      </c>
      <c r="H51" s="5"/>
      <c r="I51" s="21"/>
      <c r="J51" s="5"/>
      <c r="K51" s="21"/>
      <c r="L51" s="5"/>
      <c r="M51" s="21"/>
      <c r="N51" s="5"/>
      <c r="O51" s="21"/>
      <c r="P51" s="5"/>
      <c r="Q51" s="21"/>
      <c r="R51" s="5"/>
      <c r="S51" s="21"/>
      <c r="T51" s="5"/>
      <c r="U51" s="21"/>
      <c r="V51" s="5"/>
      <c r="W51" s="21"/>
      <c r="X51" s="5"/>
      <c r="Y51" s="21"/>
      <c r="Z51" s="5"/>
    </row>
    <row r="52">
      <c r="A52" s="9"/>
      <c r="B52" s="9"/>
      <c r="C52" s="19">
        <f>IFERROR(__xludf.DUMMYFUNCTION("FILTER('配当金履歴一覧'!$G:$G,('配当金履歴一覧'!$C:$C=C50)*('配当金履歴一覧'!$B:$B=$B50))"),4.0)</f>
        <v>4</v>
      </c>
      <c r="D52" s="20">
        <f>IFERROR(__xludf.DUMMYFUNCTION("FILTER('配当金履歴一覧'!$H:$H,('配当金履歴一覧'!$C:$C=C50)*('配当金履歴一覧'!$B:$B=$B50))"),104.0)</f>
        <v>104</v>
      </c>
      <c r="E52" s="19">
        <f>IFERROR(__xludf.DUMMYFUNCTION("FILTER('配当金履歴一覧'!$G:$G,('配当金履歴一覧'!$C:$C=E50)*('配当金履歴一覧'!$B:$B=$B50))"),10.0)</f>
        <v>10</v>
      </c>
      <c r="F52" s="20">
        <f>IFERROR(__xludf.DUMMYFUNCTION("FILTER('配当金履歴一覧'!$H:$H,('配当金履歴一覧'!$C:$C=E50)*('配当金履歴一覧'!$B:$B=$B50))"),280.0)</f>
        <v>280</v>
      </c>
      <c r="G52" s="19">
        <f>IFERROR(__xludf.DUMMYFUNCTION("FILTER('配当金履歴一覧'!$G:$G,('配当金履歴一覧'!$C:$C=G50)*('配当金履歴一覧'!$B:$B=$B50))"),12.0)</f>
        <v>12</v>
      </c>
      <c r="H52" s="20">
        <f>IFERROR(__xludf.DUMMYFUNCTION("FILTER('配当金履歴一覧'!$H:$H,('配当金履歴一覧'!$C:$C=G50)*('配当金履歴一覧'!$B:$B=$B50))"),342.0)</f>
        <v>342</v>
      </c>
      <c r="I52" s="19"/>
      <c r="J52" s="20"/>
      <c r="K52" s="19"/>
      <c r="L52" s="20"/>
      <c r="M52" s="19"/>
      <c r="N52" s="20"/>
      <c r="O52" s="19"/>
      <c r="P52" s="20"/>
      <c r="Q52" s="19"/>
      <c r="R52" s="20"/>
      <c r="S52" s="19"/>
      <c r="T52" s="20"/>
      <c r="U52" s="19"/>
      <c r="V52" s="20"/>
      <c r="W52" s="19"/>
      <c r="X52" s="20"/>
      <c r="Y52" s="19"/>
      <c r="Z52" s="20"/>
    </row>
    <row r="53">
      <c r="A53" s="11">
        <v>4042.0</v>
      </c>
      <c r="B53" s="12" t="s">
        <v>22</v>
      </c>
      <c r="C53" s="13"/>
      <c r="D53" s="5"/>
      <c r="E53" s="13"/>
      <c r="F53" s="5"/>
      <c r="G53" s="13"/>
      <c r="H53" s="5"/>
      <c r="I53" s="13"/>
      <c r="J53" s="5"/>
      <c r="K53" s="13"/>
      <c r="L53" s="5"/>
      <c r="M53" s="13"/>
      <c r="N53" s="5"/>
      <c r="O53" s="13"/>
      <c r="P53" s="5"/>
      <c r="Q53" s="13"/>
      <c r="R53" s="5"/>
      <c r="S53" s="13"/>
      <c r="T53" s="5"/>
      <c r="U53" s="13"/>
      <c r="V53" s="5"/>
      <c r="W53" s="13"/>
      <c r="X53" s="5"/>
      <c r="Y53" s="13"/>
      <c r="Z53" s="5"/>
    </row>
    <row r="54">
      <c r="A54" s="6"/>
      <c r="B54" s="6"/>
      <c r="C54" s="21"/>
      <c r="D54" s="5"/>
      <c r="E54" s="21"/>
      <c r="F54" s="5"/>
      <c r="G54" s="21"/>
      <c r="H54" s="5"/>
      <c r="I54" s="21"/>
      <c r="J54" s="5"/>
      <c r="K54" s="21"/>
      <c r="L54" s="5"/>
      <c r="M54" s="21"/>
      <c r="N54" s="5"/>
      <c r="O54" s="21"/>
      <c r="P54" s="5"/>
      <c r="Q54" s="21"/>
      <c r="R54" s="5"/>
      <c r="S54" s="21"/>
      <c r="T54" s="5"/>
      <c r="U54" s="21"/>
      <c r="V54" s="5"/>
      <c r="W54" s="21"/>
      <c r="X54" s="5"/>
      <c r="Y54" s="21"/>
      <c r="Z54" s="5"/>
    </row>
    <row r="55">
      <c r="A55" s="9"/>
      <c r="B55" s="9"/>
      <c r="C55" s="19"/>
      <c r="D55" s="20"/>
      <c r="E55" s="19"/>
      <c r="F55" s="20"/>
      <c r="G55" s="19"/>
      <c r="H55" s="20"/>
      <c r="I55" s="19"/>
      <c r="J55" s="20"/>
      <c r="K55" s="19"/>
      <c r="L55" s="20"/>
      <c r="M55" s="19"/>
      <c r="N55" s="20"/>
      <c r="O55" s="19"/>
      <c r="P55" s="20"/>
      <c r="Q55" s="19"/>
      <c r="R55" s="20"/>
      <c r="S55" s="19"/>
      <c r="T55" s="20"/>
      <c r="U55" s="19"/>
      <c r="V55" s="20"/>
      <c r="W55" s="19"/>
      <c r="X55" s="20"/>
      <c r="Y55" s="19"/>
      <c r="Z55" s="20"/>
    </row>
    <row r="56">
      <c r="A56" s="11">
        <v>4452.0</v>
      </c>
      <c r="B56" s="12" t="s">
        <v>23</v>
      </c>
      <c r="C56" s="13">
        <v>45536.0</v>
      </c>
      <c r="D56" s="5"/>
      <c r="E56" s="13">
        <v>45717.0</v>
      </c>
      <c r="F56" s="5"/>
      <c r="G56" s="13">
        <v>45901.0</v>
      </c>
      <c r="H56" s="5"/>
      <c r="I56" s="13"/>
      <c r="J56" s="5"/>
      <c r="K56" s="13"/>
      <c r="L56" s="5"/>
      <c r="M56" s="13"/>
      <c r="N56" s="5"/>
      <c r="O56" s="13"/>
      <c r="P56" s="5"/>
      <c r="Q56" s="13"/>
      <c r="R56" s="5"/>
      <c r="S56" s="13"/>
      <c r="T56" s="5"/>
      <c r="U56" s="13"/>
      <c r="V56" s="5"/>
      <c r="W56" s="13"/>
      <c r="X56" s="5"/>
      <c r="Y56" s="13"/>
      <c r="Z56" s="5"/>
    </row>
    <row r="57">
      <c r="A57" s="6"/>
      <c r="B57" s="6"/>
      <c r="C57" s="15">
        <f>IFERROR(__xludf.DUMMYFUNCTION("FILTER('配当金履歴一覧'!$D:$D,('配当金履歴一覧'!$C:$C=C56)*('配当金履歴一覧'!$B:$B=$B56))"),76.0)</f>
        <v>76</v>
      </c>
      <c r="D57" s="5"/>
      <c r="E57" s="15">
        <f>IFERROR(__xludf.DUMMYFUNCTION("FILTER('配当金履歴一覧'!$D:$D,('配当金履歴一覧'!$C:$C=E56)*('配当金履歴一覧'!$B:$B=$B56))"),76.0)</f>
        <v>76</v>
      </c>
      <c r="F57" s="5"/>
      <c r="G57" s="15">
        <f>IFERROR(__xludf.DUMMYFUNCTION("FILTER('配当金履歴一覧'!$D:$D,('配当金履歴一覧'!$C:$C=G56)*('配当金履歴一覧'!$B:$B=$B56))"),77.0)</f>
        <v>77</v>
      </c>
      <c r="H57" s="5"/>
      <c r="I57" s="23"/>
      <c r="J57" s="5"/>
      <c r="K57" s="23"/>
      <c r="L57" s="5"/>
      <c r="M57" s="23"/>
      <c r="N57" s="5"/>
      <c r="O57" s="23"/>
      <c r="P57" s="5"/>
      <c r="Q57" s="23"/>
      <c r="R57" s="5"/>
      <c r="S57" s="23"/>
      <c r="T57" s="5"/>
      <c r="U57" s="23"/>
      <c r="V57" s="5"/>
      <c r="W57" s="23"/>
      <c r="X57" s="5"/>
      <c r="Y57" s="23"/>
      <c r="Z57" s="5"/>
    </row>
    <row r="58">
      <c r="A58" s="9"/>
      <c r="B58" s="9"/>
      <c r="C58" s="19">
        <f>IFERROR(__xludf.DUMMYFUNCTION("FILTER('配当金履歴一覧'!$G:$G,('配当金履歴一覧'!$C:$C=C56)*('配当金履歴一覧'!$B:$B=$B56))"),2.0)</f>
        <v>2</v>
      </c>
      <c r="D58" s="20">
        <f>IFERROR(__xludf.DUMMYFUNCTION("FILTER('配当金履歴一覧'!$H:$H,('配当金履歴一覧'!$C:$C=C56)*('配当金履歴一覧'!$B:$B=$B56))"),152.0)</f>
        <v>152</v>
      </c>
      <c r="E58" s="19">
        <f>IFERROR(__xludf.DUMMYFUNCTION("FILTER('配当金履歴一覧'!$G:$G,('配当金履歴一覧'!$C:$C=E56)*('配当金履歴一覧'!$B:$B=$B56))"),4.0)</f>
        <v>4</v>
      </c>
      <c r="F58" s="20">
        <f>IFERROR(__xludf.DUMMYFUNCTION("FILTER('配当金履歴一覧'!$H:$H,('配当金履歴一覧'!$C:$C=E56)*('配当金履歴一覧'!$B:$B=$B56))"),304.0)</f>
        <v>304</v>
      </c>
      <c r="G58" s="19">
        <f>IFERROR(__xludf.DUMMYFUNCTION("FILTER('配当金履歴一覧'!$G:$G,('配当金履歴一覧'!$C:$C=G56)*('配当金履歴一覧'!$B:$B=$B56))"),5.0)</f>
        <v>5</v>
      </c>
      <c r="H58" s="20">
        <f>IFERROR(__xludf.DUMMYFUNCTION("FILTER('配当金履歴一覧'!$H:$H,('配当金履歴一覧'!$C:$C=G56)*('配当金履歴一覧'!$B:$B=$B56))"),385.0)</f>
        <v>385</v>
      </c>
      <c r="I58" s="19"/>
      <c r="J58" s="20"/>
      <c r="K58" s="19"/>
      <c r="L58" s="20"/>
      <c r="M58" s="19"/>
      <c r="N58" s="20"/>
      <c r="O58" s="19"/>
      <c r="P58" s="20"/>
      <c r="Q58" s="19"/>
      <c r="R58" s="20"/>
      <c r="S58" s="19"/>
      <c r="T58" s="20"/>
      <c r="U58" s="19"/>
      <c r="V58" s="20"/>
      <c r="W58" s="19"/>
      <c r="X58" s="20"/>
      <c r="Y58" s="19"/>
      <c r="Z58" s="20"/>
    </row>
    <row r="59">
      <c r="A59" s="11">
        <v>4502.0</v>
      </c>
      <c r="B59" s="12" t="s">
        <v>24</v>
      </c>
      <c r="C59" s="13">
        <v>45444.0</v>
      </c>
      <c r="D59" s="5"/>
      <c r="E59" s="13">
        <v>45627.0</v>
      </c>
      <c r="F59" s="5"/>
      <c r="G59" s="13">
        <v>45809.0</v>
      </c>
      <c r="H59" s="5"/>
      <c r="I59" s="13">
        <v>45992.0</v>
      </c>
      <c r="J59" s="5"/>
      <c r="K59" s="13"/>
      <c r="L59" s="5"/>
      <c r="M59" s="13"/>
      <c r="N59" s="5"/>
      <c r="O59" s="13"/>
      <c r="P59" s="5"/>
      <c r="Q59" s="13"/>
      <c r="R59" s="5"/>
      <c r="S59" s="13"/>
      <c r="T59" s="5"/>
      <c r="U59" s="13"/>
      <c r="V59" s="5"/>
      <c r="W59" s="13"/>
      <c r="X59" s="5"/>
      <c r="Y59" s="13"/>
      <c r="Z59" s="5"/>
    </row>
    <row r="60">
      <c r="A60" s="6"/>
      <c r="B60" s="6"/>
      <c r="C60" s="15">
        <f>IFERROR(__xludf.DUMMYFUNCTION("FILTER('配当金履歴一覧'!$D:$D,('配当金履歴一覧'!$C:$C=C59)*('配当金履歴一覧'!$B:$B=$B59))"),94.0)</f>
        <v>94</v>
      </c>
      <c r="D60" s="5"/>
      <c r="E60" s="15">
        <f>IFERROR(__xludf.DUMMYFUNCTION("FILTER('配当金履歴一覧'!$D:$D,('配当金履歴一覧'!$C:$C=E59)*('配当金履歴一覧'!$B:$B=$B59))"),98.0)</f>
        <v>98</v>
      </c>
      <c r="F60" s="5"/>
      <c r="G60" s="15">
        <f>IFERROR(__xludf.DUMMYFUNCTION("FILTER('配当金履歴一覧'!$D:$D,('配当金履歴一覧'!$C:$C=G59)*('配当金履歴一覧'!$B:$B=$B59))"),98.0)</f>
        <v>98</v>
      </c>
      <c r="H60" s="5"/>
      <c r="I60" s="15">
        <f>IFERROR(__xludf.DUMMYFUNCTION("FILTER('配当金履歴一覧'!$D:$D,('配当金履歴一覧'!$C:$C=I59)*('配当金履歴一覧'!$B:$B=$B59))"),100.0)</f>
        <v>100</v>
      </c>
      <c r="J60" s="5"/>
      <c r="K60" s="21"/>
      <c r="L60" s="5"/>
      <c r="M60" s="21"/>
      <c r="N60" s="5"/>
      <c r="O60" s="21"/>
      <c r="P60" s="5"/>
      <c r="Q60" s="21"/>
      <c r="R60" s="5"/>
      <c r="S60" s="21"/>
      <c r="T60" s="5"/>
      <c r="U60" s="21"/>
      <c r="V60" s="5"/>
      <c r="W60" s="21"/>
      <c r="X60" s="5"/>
      <c r="Y60" s="21"/>
      <c r="Z60" s="5"/>
    </row>
    <row r="61">
      <c r="A61" s="6"/>
      <c r="B61" s="6"/>
      <c r="C61" s="17">
        <f>IFERROR(__xludf.DUMMYFUNCTION("FILTER('配当金履歴一覧'!$E:$E,('配当金履歴一覧'!$C:$C=C59)*('配当金履歴一覧'!$B:$B=$B59))"),26.0)</f>
        <v>26</v>
      </c>
      <c r="D61" s="18">
        <f>IFERROR(__xludf.DUMMYFUNCTION("FILTER('配当金履歴一覧'!$F:$F,('配当金履歴一覧'!$C:$C=C59)*('配当金履歴一覧'!$B:$B=$B59))"),1948.0)</f>
        <v>1948</v>
      </c>
      <c r="E61" s="17">
        <f>IFERROR(__xludf.DUMMYFUNCTION("FILTER('配当金履歴一覧'!$E:$E,('配当金履歴一覧'!$C:$C=E59)*('配当金履歴一覧'!$B:$B=$B59))"),26.0)</f>
        <v>26</v>
      </c>
      <c r="F61" s="18">
        <f>IFERROR(__xludf.DUMMYFUNCTION("FILTER('配当金履歴一覧'!$F:$F,('配当金履歴一覧'!$C:$C=E59)*('配当金履歴一覧'!$B:$B=$B59))"),2031.0)</f>
        <v>2031</v>
      </c>
      <c r="G61" s="17">
        <f>IFERROR(__xludf.DUMMYFUNCTION("FILTER('配当金履歴一覧'!$E:$E,('配当金履歴一覧'!$C:$C=G59)*('配当金履歴一覧'!$B:$B=$B59))"),26.0)</f>
        <v>26</v>
      </c>
      <c r="H61" s="18">
        <f>IFERROR(__xludf.DUMMYFUNCTION("FILTER('配当金履歴一覧'!$F:$F,('配当金履歴一覧'!$C:$C=G59)*('配当金履歴一覧'!$B:$B=$B59))"),2031.0)</f>
        <v>2031</v>
      </c>
      <c r="I61" s="17">
        <f>IFERROR(__xludf.DUMMYFUNCTION("FILTER('配当金履歴一覧'!$E:$E,('配当金履歴一覧'!$C:$C=I59)*('配当金履歴一覧'!$B:$B=$B59))"),26.0)</f>
        <v>26</v>
      </c>
      <c r="J61" s="18">
        <f>IFERROR(__xludf.DUMMYFUNCTION("FILTER('配当金履歴一覧'!$F:$F,('配当金履歴一覧'!$C:$C=I59)*('配当金履歴一覧'!$B:$B=$B59))"),2072.0)</f>
        <v>2072</v>
      </c>
      <c r="K61" s="17"/>
      <c r="L61" s="18"/>
      <c r="M61" s="17"/>
      <c r="N61" s="18"/>
      <c r="O61" s="17"/>
      <c r="P61" s="18"/>
      <c r="Q61" s="17"/>
      <c r="R61" s="18"/>
      <c r="S61" s="17"/>
      <c r="T61" s="18"/>
      <c r="U61" s="17"/>
      <c r="V61" s="18"/>
      <c r="W61" s="17"/>
      <c r="X61" s="18"/>
      <c r="Y61" s="17"/>
      <c r="Z61" s="18"/>
    </row>
    <row r="62">
      <c r="A62" s="9"/>
      <c r="B62" s="9"/>
      <c r="C62" s="19">
        <f>IFERROR(__xludf.DUMMYFUNCTION("FILTER('配当金履歴一覧'!$G:$G,('配当金履歴一覧'!$C:$C=C59)*('配当金履歴一覧'!$B:$B=$B59))"),0.0)</f>
        <v>0</v>
      </c>
      <c r="D62" s="20">
        <f>IFERROR(__xludf.DUMMYFUNCTION("FILTER('配当金履歴一覧'!$H:$H,('配当金履歴一覧'!$C:$C=C59)*('配当金履歴一覧'!$B:$B=$B59))"),0.0)</f>
        <v>0</v>
      </c>
      <c r="E62" s="19">
        <f>IFERROR(__xludf.DUMMYFUNCTION("FILTER('配当金履歴一覧'!$G:$G,('配当金履歴一覧'!$C:$C=E59)*('配当金履歴一覧'!$B:$B=$B59))"),3.0)</f>
        <v>3</v>
      </c>
      <c r="F62" s="20">
        <f>IFERROR(__xludf.DUMMYFUNCTION("FILTER('配当金履歴一覧'!$H:$H,('配当金履歴一覧'!$C:$C=E59)*('配当金履歴一覧'!$B:$B=$B59))"),294.0)</f>
        <v>294</v>
      </c>
      <c r="G62" s="19">
        <f>IFERROR(__xludf.DUMMYFUNCTION("FILTER('配当金履歴一覧'!$G:$G,('配当金履歴一覧'!$C:$C=G59)*('配当金履歴一覧'!$B:$B=$B59))"),5.0)</f>
        <v>5</v>
      </c>
      <c r="H62" s="20">
        <f>IFERROR(__xludf.DUMMYFUNCTION("FILTER('配当金履歴一覧'!$H:$H,('配当金履歴一覧'!$C:$C=G59)*('配当金履歴一覧'!$B:$B=$B59))"),490.0)</f>
        <v>490</v>
      </c>
      <c r="I62" s="19">
        <f>IFERROR(__xludf.DUMMYFUNCTION("FILTER('配当金履歴一覧'!$G:$G,('配当金履歴一覧'!$C:$C=I59)*('配当金履歴一覧'!$B:$B=$B59))"),7.0)</f>
        <v>7</v>
      </c>
      <c r="J62" s="20">
        <f>IFERROR(__xludf.DUMMYFUNCTION("FILTER('配当金履歴一覧'!$H:$H,('配当金履歴一覧'!$C:$C=I59)*('配当金履歴一覧'!$B:$B=$B59))"),700.0)</f>
        <v>700</v>
      </c>
      <c r="K62" s="19"/>
      <c r="L62" s="20"/>
      <c r="M62" s="19"/>
      <c r="N62" s="20"/>
      <c r="O62" s="19"/>
      <c r="P62" s="20"/>
      <c r="Q62" s="19"/>
      <c r="R62" s="20"/>
      <c r="S62" s="19"/>
      <c r="T62" s="20"/>
      <c r="U62" s="19"/>
      <c r="V62" s="20"/>
      <c r="W62" s="19"/>
      <c r="X62" s="20"/>
      <c r="Y62" s="19"/>
      <c r="Z62" s="20"/>
    </row>
    <row r="63">
      <c r="A63" s="11">
        <v>5020.0</v>
      </c>
      <c r="B63" s="12" t="s">
        <v>25</v>
      </c>
      <c r="C63" s="13">
        <v>45444.0</v>
      </c>
      <c r="D63" s="5"/>
      <c r="E63" s="13">
        <v>45597.0</v>
      </c>
      <c r="F63" s="5"/>
      <c r="G63" s="13">
        <v>45809.0</v>
      </c>
      <c r="H63" s="5"/>
      <c r="I63" s="13">
        <v>45992.0</v>
      </c>
      <c r="J63" s="5"/>
      <c r="K63" s="13"/>
      <c r="L63" s="5"/>
      <c r="M63" s="13"/>
      <c r="N63" s="5"/>
      <c r="O63" s="13"/>
      <c r="P63" s="5"/>
      <c r="Q63" s="13"/>
      <c r="R63" s="5"/>
      <c r="S63" s="13"/>
      <c r="T63" s="5"/>
      <c r="U63" s="13"/>
      <c r="V63" s="5"/>
      <c r="W63" s="13"/>
      <c r="X63" s="5"/>
      <c r="Y63" s="13"/>
      <c r="Z63" s="5"/>
    </row>
    <row r="64">
      <c r="A64" s="6"/>
      <c r="B64" s="6"/>
      <c r="C64" s="22">
        <f>IFERROR(__xludf.DUMMYFUNCTION("FILTER('配当金履歴一覧'!$D:$D,('配当金履歴一覧'!$C:$C=C63)*('配当金履歴一覧'!$B:$B=$B63))"),11.0)</f>
        <v>11</v>
      </c>
      <c r="D64" s="5"/>
      <c r="E64" s="15">
        <f>IFERROR(__xludf.DUMMYFUNCTION("FILTER('配当金履歴一覧'!$D:$D,('配当金履歴一覧'!$C:$C=E63)*('配当金履歴一覧'!$B:$B=$B63))"),13.0)</f>
        <v>13</v>
      </c>
      <c r="F64" s="5"/>
      <c r="G64" s="15">
        <f>IFERROR(__xludf.DUMMYFUNCTION("FILTER('配当金履歴一覧'!$D:$D,('配当金履歴一覧'!$C:$C=G63)*('配当金履歴一覧'!$B:$B=$B63))"),13.0)</f>
        <v>13</v>
      </c>
      <c r="H64" s="5"/>
      <c r="I64" s="15">
        <f>IFERROR(__xludf.DUMMYFUNCTION("FILTER('配当金履歴一覧'!$D:$D,('配当金履歴一覧'!$C:$C=I63)*('配当金履歴一覧'!$B:$B=$B63))"),17.0)</f>
        <v>17</v>
      </c>
      <c r="J64" s="5"/>
      <c r="K64" s="21"/>
      <c r="L64" s="5"/>
      <c r="M64" s="21"/>
      <c r="N64" s="5"/>
      <c r="O64" s="21"/>
      <c r="P64" s="5"/>
      <c r="Q64" s="21"/>
      <c r="R64" s="5"/>
      <c r="S64" s="21"/>
      <c r="T64" s="5"/>
      <c r="U64" s="21"/>
      <c r="V64" s="5"/>
      <c r="W64" s="21"/>
      <c r="X64" s="5"/>
      <c r="Y64" s="21"/>
      <c r="Z64" s="5"/>
    </row>
    <row r="65">
      <c r="A65" s="9"/>
      <c r="B65" s="9"/>
      <c r="C65" s="19">
        <f>IFERROR(__xludf.DUMMYFUNCTION("FILTER('配当金履歴一覧'!$G:$G,('配当金履歴一覧'!$C:$C=C63)*('配当金履歴一覧'!$B:$B=$B63))"),2.0)</f>
        <v>2</v>
      </c>
      <c r="D65" s="20">
        <f>IFERROR(__xludf.DUMMYFUNCTION("FILTER('配当金履歴一覧'!$H:$H,('配当金履歴一覧'!$C:$C=C63)*('配当金履歴一覧'!$B:$B=$B63))"),22.0)</f>
        <v>22</v>
      </c>
      <c r="E65" s="19">
        <f>IFERROR(__xludf.DUMMYFUNCTION("FILTER('配当金履歴一覧'!$G:$G,('配当金履歴一覧'!$C:$C=E63)*('配当金履歴一覧'!$B:$B=$B63))"),4.0)</f>
        <v>4</v>
      </c>
      <c r="F65" s="20">
        <f>IFERROR(__xludf.DUMMYFUNCTION("FILTER('配当金履歴一覧'!$H:$H,('配当金履歴一覧'!$C:$C=E63)*('配当金履歴一覧'!$B:$B=$B63))"),52.0)</f>
        <v>52</v>
      </c>
      <c r="G65" s="19">
        <f>IFERROR(__xludf.DUMMYFUNCTION("FILTER('配当金履歴一覧'!$G:$G,('配当金履歴一覧'!$C:$C=G63)*('配当金履歴一覧'!$B:$B=$B63))"),4.0)</f>
        <v>4</v>
      </c>
      <c r="H65" s="20">
        <f>IFERROR(__xludf.DUMMYFUNCTION("FILTER('配当金履歴一覧'!$H:$H,('配当金履歴一覧'!$C:$C=G63)*('配当金履歴一覧'!$B:$B=$B63))"),52.0)</f>
        <v>52</v>
      </c>
      <c r="I65" s="19">
        <f>IFERROR(__xludf.DUMMYFUNCTION("FILTER('配当金履歴一覧'!$G:$G,('配当金履歴一覧'!$C:$C=I63)*('配当金履歴一覧'!$B:$B=$B63))"),14.0)</f>
        <v>14</v>
      </c>
      <c r="J65" s="20">
        <f>IFERROR(__xludf.DUMMYFUNCTION("FILTER('配当金履歴一覧'!$H:$H,('配当金履歴一覧'!$C:$C=I63)*('配当金履歴一覧'!$B:$B=$B63))"),238.0)</f>
        <v>238</v>
      </c>
      <c r="K65" s="19"/>
      <c r="L65" s="20"/>
      <c r="M65" s="19"/>
      <c r="N65" s="20"/>
      <c r="O65" s="19"/>
      <c r="P65" s="20"/>
      <c r="Q65" s="19"/>
      <c r="R65" s="20"/>
      <c r="S65" s="19"/>
      <c r="T65" s="20"/>
      <c r="U65" s="19"/>
      <c r="V65" s="20"/>
      <c r="W65" s="19"/>
      <c r="X65" s="20"/>
      <c r="Y65" s="19"/>
      <c r="Z65" s="20"/>
    </row>
    <row r="66">
      <c r="A66" s="11">
        <v>5108.0</v>
      </c>
      <c r="B66" s="12" t="s">
        <v>26</v>
      </c>
      <c r="C66" s="13">
        <v>45901.0</v>
      </c>
      <c r="D66" s="5"/>
      <c r="E66" s="13"/>
      <c r="F66" s="5"/>
      <c r="G66" s="13"/>
      <c r="H66" s="5"/>
      <c r="I66" s="13"/>
      <c r="J66" s="5"/>
      <c r="K66" s="13"/>
      <c r="L66" s="5"/>
      <c r="M66" s="13"/>
      <c r="N66" s="5"/>
      <c r="O66" s="13"/>
      <c r="P66" s="5"/>
      <c r="Q66" s="13"/>
      <c r="R66" s="5"/>
      <c r="S66" s="13"/>
      <c r="T66" s="5"/>
      <c r="U66" s="13"/>
      <c r="V66" s="5"/>
      <c r="W66" s="13"/>
      <c r="X66" s="5"/>
      <c r="Y66" s="13"/>
      <c r="Z66" s="5"/>
    </row>
    <row r="67">
      <c r="A67" s="6"/>
      <c r="B67" s="6"/>
      <c r="C67" s="15">
        <f>IFERROR(__xludf.DUMMYFUNCTION("FILTER('配当金履歴一覧'!$D:$D,('配当金履歴一覧'!$C:$C=C66)*('配当金履歴一覧'!$B:$B=$B66))"),115.0)</f>
        <v>115</v>
      </c>
      <c r="D67" s="5"/>
      <c r="E67" s="23"/>
      <c r="F67" s="5"/>
      <c r="G67" s="23"/>
      <c r="H67" s="5"/>
      <c r="I67" s="23"/>
      <c r="J67" s="5"/>
      <c r="K67" s="21"/>
      <c r="L67" s="5"/>
      <c r="M67" s="21"/>
      <c r="N67" s="5"/>
      <c r="O67" s="21"/>
      <c r="P67" s="5"/>
      <c r="Q67" s="21"/>
      <c r="R67" s="5"/>
      <c r="S67" s="21"/>
      <c r="T67" s="5"/>
      <c r="U67" s="21"/>
      <c r="V67" s="5"/>
      <c r="W67" s="21"/>
      <c r="X67" s="5"/>
      <c r="Y67" s="21"/>
      <c r="Z67" s="5"/>
    </row>
    <row r="68">
      <c r="A68" s="9"/>
      <c r="B68" s="9"/>
      <c r="C68" s="19">
        <f>IFERROR(__xludf.DUMMYFUNCTION("FILTER('配当金履歴一覧'!$G:$G,('配当金履歴一覧'!$C:$C=C66)*('配当金履歴一覧'!$B:$B=$B66))"),4.0)</f>
        <v>4</v>
      </c>
      <c r="D68" s="20">
        <f>IFERROR(__xludf.DUMMYFUNCTION("FILTER('配当金履歴一覧'!$H:$H,('配当金履歴一覧'!$C:$C=C66)*('配当金履歴一覧'!$B:$B=$B66))"),460.0)</f>
        <v>460</v>
      </c>
      <c r="E68" s="19"/>
      <c r="F68" s="20"/>
      <c r="G68" s="19"/>
      <c r="H68" s="20"/>
      <c r="I68" s="19"/>
      <c r="J68" s="20"/>
      <c r="K68" s="19"/>
      <c r="L68" s="20"/>
      <c r="M68" s="19"/>
      <c r="N68" s="20"/>
      <c r="O68" s="19"/>
      <c r="P68" s="20"/>
      <c r="Q68" s="19"/>
      <c r="R68" s="20"/>
      <c r="S68" s="19"/>
      <c r="T68" s="20"/>
      <c r="U68" s="19"/>
      <c r="V68" s="20"/>
      <c r="W68" s="19"/>
      <c r="X68" s="20"/>
      <c r="Y68" s="19"/>
      <c r="Z68" s="20"/>
    </row>
    <row r="69">
      <c r="A69" s="11">
        <v>5401.0</v>
      </c>
      <c r="B69" s="12" t="s">
        <v>27</v>
      </c>
      <c r="C69" s="13"/>
      <c r="D69" s="5"/>
      <c r="E69" s="13"/>
      <c r="F69" s="5"/>
      <c r="G69" s="13"/>
      <c r="H69" s="5"/>
      <c r="I69" s="13"/>
      <c r="J69" s="5"/>
      <c r="K69" s="13"/>
      <c r="L69" s="5"/>
      <c r="M69" s="13"/>
      <c r="N69" s="5"/>
      <c r="O69" s="13"/>
      <c r="P69" s="5"/>
      <c r="Q69" s="13"/>
      <c r="R69" s="5"/>
      <c r="S69" s="13"/>
      <c r="T69" s="5"/>
      <c r="U69" s="13"/>
      <c r="V69" s="5"/>
      <c r="W69" s="13"/>
      <c r="X69" s="5"/>
      <c r="Y69" s="13"/>
      <c r="Z69" s="5"/>
    </row>
    <row r="70">
      <c r="A70" s="6"/>
      <c r="B70" s="6"/>
      <c r="C70" s="23"/>
      <c r="D70" s="5"/>
      <c r="E70" s="23"/>
      <c r="F70" s="5"/>
      <c r="G70" s="23"/>
      <c r="H70" s="5"/>
      <c r="I70" s="23"/>
      <c r="J70" s="5"/>
      <c r="K70" s="21"/>
      <c r="L70" s="5"/>
      <c r="M70" s="21"/>
      <c r="N70" s="5"/>
      <c r="O70" s="21"/>
      <c r="P70" s="5"/>
      <c r="Q70" s="21"/>
      <c r="R70" s="5"/>
      <c r="S70" s="21"/>
      <c r="T70" s="5"/>
      <c r="U70" s="21"/>
      <c r="V70" s="5"/>
      <c r="W70" s="21"/>
      <c r="X70" s="5"/>
      <c r="Y70" s="21"/>
      <c r="Z70" s="5"/>
    </row>
    <row r="71">
      <c r="A71" s="9"/>
      <c r="B71" s="9"/>
      <c r="C71" s="19"/>
      <c r="D71" s="20"/>
      <c r="E71" s="19"/>
      <c r="F71" s="20"/>
      <c r="G71" s="19"/>
      <c r="H71" s="20"/>
      <c r="I71" s="19"/>
      <c r="J71" s="20"/>
      <c r="K71" s="19"/>
      <c r="L71" s="20"/>
      <c r="M71" s="19"/>
      <c r="N71" s="20"/>
      <c r="O71" s="19"/>
      <c r="P71" s="20"/>
      <c r="Q71" s="19"/>
      <c r="R71" s="20"/>
      <c r="S71" s="19"/>
      <c r="T71" s="20"/>
      <c r="U71" s="19"/>
      <c r="V71" s="20"/>
      <c r="W71" s="19"/>
      <c r="X71" s="20"/>
      <c r="Y71" s="19"/>
      <c r="Z71" s="20"/>
    </row>
    <row r="72">
      <c r="A72" s="11">
        <v>6301.0</v>
      </c>
      <c r="B72" s="12" t="s">
        <v>28</v>
      </c>
      <c r="C72" s="13">
        <v>45809.0</v>
      </c>
      <c r="D72" s="5"/>
      <c r="E72" s="13">
        <v>45992.0</v>
      </c>
      <c r="F72" s="5"/>
      <c r="G72" s="13"/>
      <c r="H72" s="5"/>
      <c r="I72" s="13"/>
      <c r="J72" s="5"/>
      <c r="K72" s="13"/>
      <c r="L72" s="5"/>
      <c r="M72" s="13"/>
      <c r="N72" s="5"/>
      <c r="O72" s="13"/>
      <c r="P72" s="5"/>
      <c r="Q72" s="13"/>
      <c r="R72" s="5"/>
      <c r="S72" s="13"/>
      <c r="T72" s="5"/>
      <c r="U72" s="13"/>
      <c r="V72" s="5"/>
      <c r="W72" s="13"/>
      <c r="X72" s="5"/>
      <c r="Y72" s="13"/>
      <c r="Z72" s="5"/>
    </row>
    <row r="73">
      <c r="A73" s="6"/>
      <c r="B73" s="6"/>
      <c r="C73" s="15">
        <f>IFERROR(__xludf.DUMMYFUNCTION("FILTER('配当金履歴一覧'!$D:$D,('配当金履歴一覧'!$C:$C=C72)*('配当金履歴一覧'!$B:$B=$B72))"),107.0)</f>
        <v>107</v>
      </c>
      <c r="D73" s="5"/>
      <c r="E73" s="15">
        <f>IFERROR(__xludf.DUMMYFUNCTION("FILTER('配当金履歴一覧'!$D:$D,('配当金履歴一覧'!$C:$C=E72)*('配当金履歴一覧'!$B:$B=$B72))"),95.0)</f>
        <v>95</v>
      </c>
      <c r="F73" s="5"/>
      <c r="G73" s="23"/>
      <c r="H73" s="5"/>
      <c r="I73" s="23"/>
      <c r="J73" s="5"/>
      <c r="K73" s="21"/>
      <c r="L73" s="5"/>
      <c r="M73" s="21"/>
      <c r="N73" s="5"/>
      <c r="O73" s="21"/>
      <c r="P73" s="5"/>
      <c r="Q73" s="21"/>
      <c r="R73" s="5"/>
      <c r="S73" s="21"/>
      <c r="T73" s="5"/>
      <c r="U73" s="21"/>
      <c r="V73" s="5"/>
      <c r="W73" s="21"/>
      <c r="X73" s="5"/>
      <c r="Y73" s="21"/>
      <c r="Z73" s="5"/>
    </row>
    <row r="74">
      <c r="A74" s="9"/>
      <c r="B74" s="9"/>
      <c r="C74" s="19">
        <f>IFERROR(__xludf.DUMMYFUNCTION("FILTER('配当金履歴一覧'!$G:$G,('配当金履歴一覧'!$C:$C=C72)*('配当金履歴一覧'!$B:$B=$B72))"),2.0)</f>
        <v>2</v>
      </c>
      <c r="D74" s="20">
        <f>IFERROR(__xludf.DUMMYFUNCTION("FILTER('配当金履歴一覧'!$H:$H,('配当金履歴一覧'!$C:$C=C72)*('配当金履歴一覧'!$B:$B=$B72))"),214.0)</f>
        <v>214</v>
      </c>
      <c r="E74" s="19">
        <f>IFERROR(__xludf.DUMMYFUNCTION("FILTER('配当金履歴一覧'!$G:$G,('配当金履歴一覧'!$C:$C=E72)*('配当金履歴一覧'!$B:$B=$B72))"),9.0)</f>
        <v>9</v>
      </c>
      <c r="F74" s="20">
        <f>IFERROR(__xludf.DUMMYFUNCTION("FILTER('配当金履歴一覧'!$H:$H,('配当金履歴一覧'!$C:$C=E72)*('配当金履歴一覧'!$B:$B=$B72))"),855.0)</f>
        <v>855</v>
      </c>
      <c r="G74" s="19"/>
      <c r="H74" s="20"/>
      <c r="I74" s="19"/>
      <c r="J74" s="20"/>
      <c r="K74" s="19"/>
      <c r="L74" s="20"/>
      <c r="M74" s="19"/>
      <c r="N74" s="20"/>
      <c r="O74" s="19"/>
      <c r="P74" s="20"/>
      <c r="Q74" s="19"/>
      <c r="R74" s="20"/>
      <c r="S74" s="19"/>
      <c r="T74" s="20"/>
      <c r="U74" s="19"/>
      <c r="V74" s="20"/>
      <c r="W74" s="19"/>
      <c r="X74" s="20"/>
      <c r="Y74" s="19"/>
      <c r="Z74" s="20"/>
    </row>
    <row r="75">
      <c r="A75" s="11">
        <v>7177.0</v>
      </c>
      <c r="B75" s="12" t="s">
        <v>29</v>
      </c>
      <c r="C75" s="13">
        <v>45352.0</v>
      </c>
      <c r="D75" s="5"/>
      <c r="E75" s="13">
        <v>45444.0</v>
      </c>
      <c r="F75" s="5"/>
      <c r="G75" s="13">
        <v>45536.0</v>
      </c>
      <c r="H75" s="5"/>
      <c r="I75" s="13">
        <v>45627.0</v>
      </c>
      <c r="J75" s="5"/>
      <c r="K75" s="13">
        <v>45717.0</v>
      </c>
      <c r="L75" s="5"/>
      <c r="M75" s="13">
        <v>45809.0</v>
      </c>
      <c r="N75" s="5"/>
      <c r="O75" s="13">
        <v>45901.0</v>
      </c>
      <c r="P75" s="5"/>
      <c r="Q75" s="13">
        <v>45992.0</v>
      </c>
      <c r="R75" s="5"/>
      <c r="S75" s="13"/>
      <c r="T75" s="5"/>
      <c r="U75" s="13"/>
      <c r="V75" s="5"/>
      <c r="W75" s="13"/>
      <c r="X75" s="5"/>
      <c r="Y75" s="13"/>
      <c r="Z75" s="5"/>
    </row>
    <row r="76">
      <c r="A76" s="6"/>
      <c r="B76" s="6"/>
      <c r="C76" s="15">
        <f>IFERROR(__xludf.DUMMYFUNCTION("FILTER('配当金履歴一覧'!$D:$D,('配当金履歴一覧'!$C:$C=C75)*('配当金履歴一覧'!$B:$B=$B75))"),7.2)</f>
        <v>7.2</v>
      </c>
      <c r="D76" s="5"/>
      <c r="E76" s="15">
        <f>IFERROR(__xludf.DUMMYFUNCTION("FILTER('配当金履歴一覧'!$D:$D,('配当金履歴一覧'!$C:$C=E75)*('配当金履歴一覧'!$B:$B=$B75))"),11.87)</f>
        <v>11.87</v>
      </c>
      <c r="F76" s="5"/>
      <c r="G76" s="14">
        <f>IFERROR(__xludf.DUMMYFUNCTION("FILTER('配当金履歴一覧'!$D:$D,('配当金履歴一覧'!$C:$C=G75)*('配当金履歴一覧'!$B:$B=$B75))"),2.0)</f>
        <v>2</v>
      </c>
      <c r="H76" s="5"/>
      <c r="I76" s="14">
        <f>IFERROR(__xludf.DUMMYFUNCTION("FILTER('配当金履歴一覧'!$D:$D,('配当金履歴一覧'!$C:$C=I75)*('配当金履歴一覧'!$B:$B=$B75))"),8.27)</f>
        <v>8.27</v>
      </c>
      <c r="J76" s="5"/>
      <c r="K76" s="14">
        <f>IFERROR(__xludf.DUMMYFUNCTION("FILTER('配当金履歴一覧'!$D:$D,('配当金履歴一覧'!$C:$C=K75)*('配当金履歴一覧'!$B:$B=$B75))"),5.24)</f>
        <v>5.24</v>
      </c>
      <c r="L76" s="5"/>
      <c r="M76" s="15">
        <f>IFERROR(__xludf.DUMMYFUNCTION("FILTER('配当金履歴一覧'!$D:$D,('配当金履歴一覧'!$C:$C=M75)*('配当金履歴一覧'!$B:$B=$B75))"),13.8)</f>
        <v>13.8</v>
      </c>
      <c r="N76" s="5"/>
      <c r="O76" s="15">
        <f>IFERROR(__xludf.DUMMYFUNCTION("FILTER('配当金履歴一覧'!$D:$D,('配当金履歴一覧'!$C:$C=O75)*('配当金履歴一覧'!$B:$B=$B75))"),20.43)</f>
        <v>20.43</v>
      </c>
      <c r="P76" s="5"/>
      <c r="Q76" s="15">
        <f>IFERROR(__xludf.DUMMYFUNCTION("FILTER('配当金履歴一覧'!$D:$D,('配当金履歴一覧'!$C:$C=Q75)*('配当金履歴一覧'!$B:$B=$B75))"),14.87)</f>
        <v>14.87</v>
      </c>
      <c r="R76" s="5"/>
      <c r="S76" s="23"/>
      <c r="T76" s="5"/>
      <c r="U76" s="23"/>
      <c r="V76" s="5"/>
      <c r="W76" s="23"/>
      <c r="X76" s="5"/>
      <c r="Y76" s="23"/>
      <c r="Z76" s="5"/>
    </row>
    <row r="77">
      <c r="A77" s="6"/>
      <c r="B77" s="6"/>
      <c r="C77" s="17">
        <f>IFERROR(__xludf.DUMMYFUNCTION("FILTER('配当金履歴一覧'!$E:$E,('配当金履歴一覧'!$C:$C=C75)*('配当金履歴一覧'!$B:$B=$B75))"),20.0)</f>
        <v>20</v>
      </c>
      <c r="D77" s="18">
        <f>IFERROR(__xludf.DUMMYFUNCTION("FILTER('配当金履歴一覧'!$F:$F,('配当金履歴一覧'!$C:$C=C75)*('配当金履歴一覧'!$B:$B=$B75))"),115.0)</f>
        <v>115</v>
      </c>
      <c r="E77" s="17">
        <f>IFERROR(__xludf.DUMMYFUNCTION("FILTER('配当金履歴一覧'!$E:$E,('配当金履歴一覧'!$C:$C=E75)*('配当金履歴一覧'!$B:$B=$B75))"),0.0)</f>
        <v>0</v>
      </c>
      <c r="F77" s="18">
        <f>IFERROR(__xludf.DUMMYFUNCTION("FILTER('配当金履歴一覧'!$F:$F,('配当金履歴一覧'!$C:$C=E75)*('配当金履歴一覧'!$B:$B=$B75))"),0.0)</f>
        <v>0</v>
      </c>
      <c r="G77" s="17">
        <f>IFERROR(__xludf.DUMMYFUNCTION("FILTER('配当金履歴一覧'!$E:$E,('配当金履歴一覧'!$C:$C=G75)*('配当金履歴一覧'!$B:$B=$B75))"),0.0)</f>
        <v>0</v>
      </c>
      <c r="H77" s="18">
        <f>IFERROR(__xludf.DUMMYFUNCTION("FILTER('配当金履歴一覧'!$F:$F,('配当金履歴一覧'!$C:$C=G75)*('配当金履歴一覧'!$B:$B=$B75))"),0.0)</f>
        <v>0</v>
      </c>
      <c r="I77" s="17">
        <f>IFERROR(__xludf.DUMMYFUNCTION("FILTER('配当金履歴一覧'!$E:$E,('配当金履歴一覧'!$C:$C=I75)*('配当金履歴一覧'!$B:$B=$B75))"),0.0)</f>
        <v>0</v>
      </c>
      <c r="J77" s="18">
        <f>IFERROR(__xludf.DUMMYFUNCTION("FILTER('配当金履歴一覧'!$F:$F,('配当金履歴一覧'!$C:$C=I75)*('配当金履歴一覧'!$B:$B=$B75))"),0.0)</f>
        <v>0</v>
      </c>
      <c r="K77" s="17">
        <f>IFERROR(__xludf.DUMMYFUNCTION("FILTER('配当金履歴一覧'!$E:$E,('配当金履歴一覧'!$C:$C=K75)*('配当金履歴一覧'!$B:$B=$B75))"),0.0)</f>
        <v>0</v>
      </c>
      <c r="L77" s="18">
        <f>IFERROR(__xludf.DUMMYFUNCTION("FILTER('配当金履歴一覧'!$F:$F,('配当金履歴一覧'!$C:$C=K75)*('配当金履歴一覧'!$B:$B=$B75))"),0.0)</f>
        <v>0</v>
      </c>
      <c r="M77" s="17">
        <f>IFERROR(__xludf.DUMMYFUNCTION("FILTER('配当金履歴一覧'!$E:$E,('配当金履歴一覧'!$C:$C=M75)*('配当金履歴一覧'!$B:$B=$B75))"),0.0)</f>
        <v>0</v>
      </c>
      <c r="N77" s="18">
        <f>IFERROR(__xludf.DUMMYFUNCTION("FILTER('配当金履歴一覧'!$F:$F,('配当金履歴一覧'!$C:$C=M75)*('配当金履歴一覧'!$B:$B=$B75))"),0.0)</f>
        <v>0</v>
      </c>
      <c r="O77" s="17">
        <f>IFERROR(__xludf.DUMMYFUNCTION("FILTER('配当金履歴一覧'!$E:$E,('配当金履歴一覧'!$C:$C=O75)*('配当金履歴一覧'!$B:$B=$B75))"),0.0)</f>
        <v>0</v>
      </c>
      <c r="P77" s="18">
        <f>IFERROR(__xludf.DUMMYFUNCTION("FILTER('配当金履歴一覧'!$F:$F,('配当金履歴一覧'!$C:$C=O75)*('配当金履歴一覧'!$B:$B=$B75))"),0.0)</f>
        <v>0</v>
      </c>
      <c r="Q77" s="17">
        <f>IFERROR(__xludf.DUMMYFUNCTION("FILTER('配当金履歴一覧'!$E:$E,('配当金履歴一覧'!$C:$C=Q75)*('配当金履歴一覧'!$B:$B=$B75))"),0.0)</f>
        <v>0</v>
      </c>
      <c r="R77" s="18">
        <f>IFERROR(__xludf.DUMMYFUNCTION("FILTER('配当金履歴一覧'!$F:$F,('配当金履歴一覧'!$C:$C=Q75)*('配当金履歴一覧'!$B:$B=$B75))"),0.0)</f>
        <v>0</v>
      </c>
      <c r="S77" s="17"/>
      <c r="T77" s="18"/>
      <c r="U77" s="17"/>
      <c r="V77" s="18"/>
      <c r="W77" s="17"/>
      <c r="X77" s="18"/>
      <c r="Y77" s="17"/>
      <c r="Z77" s="18"/>
    </row>
    <row r="78">
      <c r="A78" s="9"/>
      <c r="B78" s="9"/>
      <c r="C78" s="19">
        <f>IFERROR(__xludf.DUMMYFUNCTION("FILTER('配当金履歴一覧'!$G:$G,('配当金履歴一覧'!$C:$C=C75)*('配当金履歴一覧'!$B:$B=$B75))"),0.0)</f>
        <v>0</v>
      </c>
      <c r="D78" s="20">
        <f>IFERROR(__xludf.DUMMYFUNCTION("FILTER('配当金履歴一覧'!$H:$H,('配当金履歴一覧'!$C:$C=C75)*('配当金履歴一覧'!$B:$B=$B75))"),0.0)</f>
        <v>0</v>
      </c>
      <c r="E78" s="19">
        <f>IFERROR(__xludf.DUMMYFUNCTION("FILTER('配当金履歴一覧'!$G:$G,('配当金履歴一覧'!$C:$C=E75)*('配当金履歴一覧'!$B:$B=$B75))"),20.0)</f>
        <v>20</v>
      </c>
      <c r="F78" s="20">
        <f>IFERROR(__xludf.DUMMYFUNCTION("FILTER('配当金履歴一覧'!$H:$H,('配当金履歴一覧'!$C:$C=E75)*('配当金履歴一覧'!$B:$B=$B75))"),238.0)</f>
        <v>238</v>
      </c>
      <c r="G78" s="19">
        <f>IFERROR(__xludf.DUMMYFUNCTION("FILTER('配当金履歴一覧'!$G:$G,('配当金履歴一覧'!$C:$C=G75)*('配当金履歴一覧'!$B:$B=$B75))"),20.0)</f>
        <v>20</v>
      </c>
      <c r="H78" s="20">
        <f>IFERROR(__xludf.DUMMYFUNCTION("FILTER('配当金履歴一覧'!$H:$H,('配当金履歴一覧'!$C:$C=G75)*('配当金履歴一覧'!$B:$B=$B75))"),40.0)</f>
        <v>40</v>
      </c>
      <c r="I78" s="19">
        <f>IFERROR(__xludf.DUMMYFUNCTION("FILTER('配当金履歴一覧'!$G:$G,('配当金履歴一覧'!$C:$C=I75)*('配当金履歴一覧'!$B:$B=$B75))"),20.0)</f>
        <v>20</v>
      </c>
      <c r="J78" s="20">
        <f>IFERROR(__xludf.DUMMYFUNCTION("FILTER('配当金履歴一覧'!$H:$H,('配当金履歴一覧'!$C:$C=I75)*('配当金履歴一覧'!$B:$B=$B75))"),166.0)</f>
        <v>166</v>
      </c>
      <c r="K78" s="19">
        <f>IFERROR(__xludf.DUMMYFUNCTION("FILTER('配当金履歴一覧'!$G:$G,('配当金履歴一覧'!$C:$C=K75)*('配当金履歴一覧'!$B:$B=$B75))"),20.0)</f>
        <v>20</v>
      </c>
      <c r="L78" s="20">
        <f>IFERROR(__xludf.DUMMYFUNCTION("FILTER('配当金履歴一覧'!$H:$H,('配当金履歴一覧'!$C:$C=K75)*('配当金履歴一覧'!$B:$B=$B75))"),105.0)</f>
        <v>105</v>
      </c>
      <c r="M78" s="19">
        <f>IFERROR(__xludf.DUMMYFUNCTION("FILTER('配当金履歴一覧'!$G:$G,('配当金履歴一覧'!$C:$C=M75)*('配当金履歴一覧'!$B:$B=$B75))"),20.0)</f>
        <v>20</v>
      </c>
      <c r="N78" s="20">
        <f>IFERROR(__xludf.DUMMYFUNCTION("FILTER('配当金履歴一覧'!$H:$H,('配当金履歴一覧'!$C:$C=M75)*('配当金履歴一覧'!$B:$B=$B75))"),276.0)</f>
        <v>276</v>
      </c>
      <c r="O78" s="19">
        <f>IFERROR(__xludf.DUMMYFUNCTION("FILTER('配当金履歴一覧'!$G:$G,('配当金履歴一覧'!$C:$C=O75)*('配当金履歴一覧'!$B:$B=$B75))"),20.0)</f>
        <v>20</v>
      </c>
      <c r="P78" s="20">
        <f>IFERROR(__xludf.DUMMYFUNCTION("FILTER('配当金履歴一覧'!$H:$H,('配当金履歴一覧'!$C:$C=O75)*('配当金履歴一覧'!$B:$B=$B75))"),409.0)</f>
        <v>409</v>
      </c>
      <c r="Q78" s="19">
        <f>IFERROR(__xludf.DUMMYFUNCTION("FILTER('配当金履歴一覧'!$G:$G,('配当金履歴一覧'!$C:$C=Q75)*('配当金履歴一覧'!$B:$B=$B75))"),20.0)</f>
        <v>20</v>
      </c>
      <c r="R78" s="20">
        <f>IFERROR(__xludf.DUMMYFUNCTION("FILTER('配当金履歴一覧'!$H:$H,('配当金履歴一覧'!$C:$C=Q75)*('配当金履歴一覧'!$B:$B=$B75))"),298.0)</f>
        <v>298</v>
      </c>
      <c r="S78" s="19"/>
      <c r="T78" s="20"/>
      <c r="U78" s="19"/>
      <c r="V78" s="20"/>
      <c r="W78" s="19"/>
      <c r="X78" s="20"/>
      <c r="Y78" s="19"/>
      <c r="Z78" s="20"/>
    </row>
    <row r="79">
      <c r="A79" s="11">
        <v>7751.0</v>
      </c>
      <c r="B79" s="12" t="s">
        <v>30</v>
      </c>
      <c r="C79" s="13">
        <v>45352.0</v>
      </c>
      <c r="D79" s="5"/>
      <c r="E79" s="13">
        <v>45505.0</v>
      </c>
      <c r="F79" s="5"/>
      <c r="G79" s="13">
        <v>45717.0</v>
      </c>
      <c r="H79" s="5"/>
      <c r="I79" s="13">
        <v>45870.0</v>
      </c>
      <c r="J79" s="5"/>
      <c r="K79" s="13"/>
      <c r="L79" s="5"/>
      <c r="M79" s="13"/>
      <c r="N79" s="5"/>
      <c r="O79" s="13"/>
      <c r="P79" s="5"/>
      <c r="Q79" s="13"/>
      <c r="R79" s="5"/>
      <c r="S79" s="13"/>
      <c r="T79" s="5"/>
      <c r="U79" s="13"/>
      <c r="V79" s="5"/>
      <c r="W79" s="13"/>
      <c r="X79" s="5"/>
      <c r="Y79" s="13"/>
      <c r="Z79" s="5"/>
    </row>
    <row r="80">
      <c r="A80" s="6"/>
      <c r="B80" s="6"/>
      <c r="C80" s="15">
        <f>IFERROR(__xludf.DUMMYFUNCTION("FILTER('配当金履歴一覧'!$D:$D,('配当金履歴一覧'!$C:$C=C79)*('配当金履歴一覧'!$B:$B=$B79))"),70.0)</f>
        <v>70</v>
      </c>
      <c r="D80" s="5"/>
      <c r="E80" s="15">
        <f>IFERROR(__xludf.DUMMYFUNCTION("FILTER('配当金履歴一覧'!$D:$D,('配当金履歴一覧'!$C:$C=E79)*('配当金履歴一覧'!$B:$B=$B79))"),75.0)</f>
        <v>75</v>
      </c>
      <c r="F80" s="5"/>
      <c r="G80" s="15">
        <f>IFERROR(__xludf.DUMMYFUNCTION("FILTER('配当金履歴一覧'!$D:$D,('配当金履歴一覧'!$C:$C=G79)*('配当金履歴一覧'!$B:$B=$B79))"),80.0)</f>
        <v>80</v>
      </c>
      <c r="H80" s="5"/>
      <c r="I80" s="15">
        <f>IFERROR(__xludf.DUMMYFUNCTION("FILTER('配当金履歴一覧'!$D:$D,('配当金履歴一覧'!$C:$C=I79)*('配当金履歴一覧'!$B:$B=$B79))"),80.0)</f>
        <v>80</v>
      </c>
      <c r="J80" s="5"/>
      <c r="K80" s="21"/>
      <c r="L80" s="5"/>
      <c r="M80" s="21"/>
      <c r="N80" s="5"/>
      <c r="O80" s="21"/>
      <c r="P80" s="5"/>
      <c r="Q80" s="21"/>
      <c r="R80" s="5"/>
      <c r="S80" s="21"/>
      <c r="T80" s="5"/>
      <c r="U80" s="21"/>
      <c r="V80" s="5"/>
      <c r="W80" s="21"/>
      <c r="X80" s="5"/>
      <c r="Y80" s="21"/>
      <c r="Z80" s="5"/>
    </row>
    <row r="81">
      <c r="A81" s="6"/>
      <c r="B81" s="6"/>
      <c r="C81" s="17">
        <f>IFERROR(__xludf.DUMMYFUNCTION("FILTER('配当金履歴一覧'!$E:$E,('配当金履歴一覧'!$C:$C=C79)*('配当金履歴一覧'!$B:$B=$B79))"),2.0)</f>
        <v>2</v>
      </c>
      <c r="D81" s="18">
        <f>IFERROR(__xludf.DUMMYFUNCTION("FILTER('配当金履歴一覧'!$F:$F,('配当金履歴一覧'!$C:$C=C79)*('配当金履歴一覧'!$B:$B=$B79))"),112.0)</f>
        <v>112</v>
      </c>
      <c r="E81" s="17">
        <f>IFERROR(__xludf.DUMMYFUNCTION("FILTER('配当金履歴一覧'!$E:$E,('配当金履歴一覧'!$C:$C=E79)*('配当金履歴一覧'!$B:$B=$B79))"),2.0)</f>
        <v>2</v>
      </c>
      <c r="F81" s="18">
        <f>IFERROR(__xludf.DUMMYFUNCTION("FILTER('配当金履歴一覧'!$F:$F,('配当金履歴一覧'!$C:$C=E79)*('配当金履歴一覧'!$B:$B=$B79))"),121.0)</f>
        <v>121</v>
      </c>
      <c r="G81" s="17">
        <f>IFERROR(__xludf.DUMMYFUNCTION("FILTER('配当金履歴一覧'!$E:$E,('配当金履歴一覧'!$C:$C=G79)*('配当金履歴一覧'!$B:$B=$B79))"),2.0)</f>
        <v>2</v>
      </c>
      <c r="H81" s="18">
        <f>IFERROR(__xludf.DUMMYFUNCTION("FILTER('配当金履歴一覧'!$F:$F,('配当金履歴一覧'!$C:$C=G79)*('配当金履歴一覧'!$B:$B=$B79))"),128.0)</f>
        <v>128</v>
      </c>
      <c r="I81" s="17">
        <f>IFERROR(__xludf.DUMMYFUNCTION("FILTER('配当金履歴一覧'!$E:$E,('配当金履歴一覧'!$C:$C=I79)*('配当金履歴一覧'!$B:$B=$B79))"),2.0)</f>
        <v>2</v>
      </c>
      <c r="J81" s="18">
        <f>IFERROR(__xludf.DUMMYFUNCTION("FILTER('配当金履歴一覧'!$F:$F,('配当金履歴一覧'!$C:$C=I79)*('配当金履歴一覧'!$B:$B=$B79))"),128.0)</f>
        <v>128</v>
      </c>
      <c r="K81" s="17"/>
      <c r="L81" s="18"/>
      <c r="M81" s="17"/>
      <c r="N81" s="18"/>
      <c r="O81" s="17"/>
      <c r="P81" s="18"/>
      <c r="Q81" s="17"/>
      <c r="R81" s="18"/>
      <c r="S81" s="17"/>
      <c r="T81" s="18"/>
      <c r="U81" s="17"/>
      <c r="V81" s="18"/>
      <c r="W81" s="17"/>
      <c r="X81" s="18"/>
      <c r="Y81" s="17"/>
      <c r="Z81" s="18"/>
    </row>
    <row r="82">
      <c r="A82" s="9"/>
      <c r="B82" s="9"/>
      <c r="C82" s="19">
        <f>IFERROR(__xludf.DUMMYFUNCTION("FILTER('配当金履歴一覧'!$G:$G,('配当金履歴一覧'!$C:$C=C79)*('配当金履歴一覧'!$B:$B=$B79))"),0.0)</f>
        <v>0</v>
      </c>
      <c r="D82" s="20">
        <f>IFERROR(__xludf.DUMMYFUNCTION("FILTER('配当金履歴一覧'!$H:$H,('配当金履歴一覧'!$C:$C=C79)*('配当金履歴一覧'!$B:$B=$B79))"),0.0)</f>
        <v>0</v>
      </c>
      <c r="E82" s="19">
        <f>IFERROR(__xludf.DUMMYFUNCTION("FILTER('配当金履歴一覧'!$G:$G,('配当金履歴一覧'!$C:$C=E79)*('配当金履歴一覧'!$B:$B=$B79))"),3.0)</f>
        <v>3</v>
      </c>
      <c r="F82" s="20">
        <f>IFERROR(__xludf.DUMMYFUNCTION("FILTER('配当金履歴一覧'!$H:$H,('配当金履歴一覧'!$C:$C=E79)*('配当金履歴一覧'!$B:$B=$B79))"),225.0)</f>
        <v>225</v>
      </c>
      <c r="G82" s="19">
        <f>IFERROR(__xludf.DUMMYFUNCTION("FILTER('配当金履歴一覧'!$G:$G,('配当金履歴一覧'!$C:$C=G79)*('配当金履歴一覧'!$B:$B=$B79))"),3.0)</f>
        <v>3</v>
      </c>
      <c r="H82" s="20">
        <f>IFERROR(__xludf.DUMMYFUNCTION("FILTER('配当金履歴一覧'!$H:$H,('配当金履歴一覧'!$C:$C=G79)*('配当金履歴一覧'!$B:$B=$B79))"),240.0)</f>
        <v>240</v>
      </c>
      <c r="I82" s="19">
        <f>IFERROR(__xludf.DUMMYFUNCTION("FILTER('配当金履歴一覧'!$G:$G,('配当金履歴一覧'!$C:$C=I79)*('配当金履歴一覧'!$B:$B=$B79))"),5.0)</f>
        <v>5</v>
      </c>
      <c r="J82" s="20">
        <f>IFERROR(__xludf.DUMMYFUNCTION("FILTER('配当金履歴一覧'!$H:$H,('配当金履歴一覧'!$C:$C=I79)*('配当金履歴一覧'!$B:$B=$B79))"),400.0)</f>
        <v>400</v>
      </c>
      <c r="K82" s="19"/>
      <c r="L82" s="20"/>
      <c r="M82" s="19"/>
      <c r="N82" s="20"/>
      <c r="O82" s="19"/>
      <c r="P82" s="20"/>
      <c r="Q82" s="19"/>
      <c r="R82" s="20"/>
      <c r="S82" s="19"/>
      <c r="T82" s="20"/>
      <c r="U82" s="19"/>
      <c r="V82" s="20"/>
      <c r="W82" s="19"/>
      <c r="X82" s="20"/>
      <c r="Y82" s="19"/>
      <c r="Z82" s="20"/>
    </row>
    <row r="83">
      <c r="A83" s="11">
        <v>8001.0</v>
      </c>
      <c r="B83" s="12" t="s">
        <v>31</v>
      </c>
      <c r="C83" s="13">
        <v>45444.0</v>
      </c>
      <c r="D83" s="5"/>
      <c r="E83" s="13">
        <v>45627.0</v>
      </c>
      <c r="F83" s="5"/>
      <c r="G83" s="13">
        <v>45809.0</v>
      </c>
      <c r="H83" s="5"/>
      <c r="I83" s="13">
        <v>45992.0</v>
      </c>
      <c r="J83" s="5"/>
      <c r="K83" s="13"/>
      <c r="L83" s="5"/>
      <c r="M83" s="13"/>
      <c r="N83" s="5"/>
      <c r="O83" s="13"/>
      <c r="P83" s="5"/>
      <c r="Q83" s="13"/>
      <c r="R83" s="5"/>
      <c r="S83" s="13"/>
      <c r="T83" s="5"/>
      <c r="U83" s="13"/>
      <c r="V83" s="5"/>
      <c r="W83" s="13"/>
      <c r="X83" s="5"/>
      <c r="Y83" s="13"/>
      <c r="Z83" s="5"/>
    </row>
    <row r="84">
      <c r="A84" s="6"/>
      <c r="B84" s="6"/>
      <c r="C84" s="15">
        <f>IFERROR(__xludf.DUMMYFUNCTION("FILTER('配当金履歴一覧'!$D:$D,('配当金履歴一覧'!$C:$C=C83)*('配当金履歴一覧'!$B:$B=$B83))"),80.0)</f>
        <v>80</v>
      </c>
      <c r="D84" s="5"/>
      <c r="E84" s="15">
        <f>IFERROR(__xludf.DUMMYFUNCTION("FILTER('配当金履歴一覧'!$D:$D,('配当金履歴一覧'!$C:$C=E83)*('配当金履歴一覧'!$B:$B=$B83))"),100.0)</f>
        <v>100</v>
      </c>
      <c r="F84" s="5"/>
      <c r="G84" s="15">
        <f>IFERROR(__xludf.DUMMYFUNCTION("FILTER('配当金履歴一覧'!$D:$D,('配当金履歴一覧'!$C:$C=G83)*('配当金履歴一覧'!$B:$B=$B83))"),100.0)</f>
        <v>100</v>
      </c>
      <c r="H84" s="5"/>
      <c r="I84" s="22">
        <f>IFERROR(__xludf.DUMMYFUNCTION("FILTER('配当金履歴一覧'!$D:$D,('配当金履歴一覧'!$C:$C=I83)*('配当金履歴一覧'!$B:$B=$B83))"),100.0)</f>
        <v>100</v>
      </c>
      <c r="J84" s="5"/>
      <c r="K84" s="21"/>
      <c r="L84" s="5"/>
      <c r="M84" s="21"/>
      <c r="N84" s="5"/>
      <c r="O84" s="21"/>
      <c r="P84" s="5"/>
      <c r="Q84" s="21"/>
      <c r="R84" s="5"/>
      <c r="S84" s="21"/>
      <c r="T84" s="5"/>
      <c r="U84" s="21"/>
      <c r="V84" s="5"/>
      <c r="W84" s="21"/>
      <c r="X84" s="5"/>
      <c r="Y84" s="21"/>
      <c r="Z84" s="5"/>
    </row>
    <row r="85">
      <c r="A85" s="6"/>
      <c r="B85" s="6"/>
      <c r="C85" s="17">
        <f>IFERROR(__xludf.DUMMYFUNCTION("FILTER('配当金履歴一覧'!$E:$E,('配当金履歴一覧'!$C:$C=C83)*('配当金履歴一覧'!$B:$B=$B83))"),6.0)</f>
        <v>6</v>
      </c>
      <c r="D85" s="18">
        <f>IFERROR(__xludf.DUMMYFUNCTION("FILTER('配当金履歴一覧'!$F:$F,('配当金履歴一覧'!$C:$C=C83)*('配当金履歴一覧'!$B:$B=$B83))"),383.0)</f>
        <v>383</v>
      </c>
      <c r="E85" s="17">
        <f>IFERROR(__xludf.DUMMYFUNCTION("FILTER('配当金履歴一覧'!$E:$E,('配当金履歴一覧'!$C:$C=E83)*('配当金履歴一覧'!$B:$B=$B83))"),6.0)</f>
        <v>6</v>
      </c>
      <c r="F85" s="18">
        <f>IFERROR(__xludf.DUMMYFUNCTION("FILTER('配当金履歴一覧'!$F:$F,('配当金履歴一覧'!$C:$C=E83)*('配当金履歴一覧'!$B:$B=$B83))"),479.0)</f>
        <v>479</v>
      </c>
      <c r="G85" s="17">
        <f>IFERROR(__xludf.DUMMYFUNCTION("FILTER('配当金履歴一覧'!$E:$E,('配当金履歴一覧'!$C:$C=G83)*('配当金履歴一覧'!$B:$B=$B83))"),6.0)</f>
        <v>6</v>
      </c>
      <c r="H85" s="18">
        <f>IFERROR(__xludf.DUMMYFUNCTION("FILTER('配当金履歴一覧'!$F:$F,('配当金履歴一覧'!$C:$C=G83)*('配当金履歴一覧'!$B:$B=$B83))"),479.0)</f>
        <v>479</v>
      </c>
      <c r="I85" s="17">
        <f>IFERROR(__xludf.DUMMYFUNCTION("FILTER('配当金履歴一覧'!$E:$E,('配当金履歴一覧'!$C:$C=I83)*('配当金履歴一覧'!$B:$B=$B83))"),6.0)</f>
        <v>6</v>
      </c>
      <c r="J85" s="18">
        <f>IFERROR(__xludf.DUMMYFUNCTION("FILTER('配当金履歴一覧'!$F:$F,('配当金履歴一覧'!$C:$C=I83)*('配当金履歴一覧'!$B:$B=$B83))"),479.0)</f>
        <v>479</v>
      </c>
      <c r="K85" s="17"/>
      <c r="L85" s="18"/>
      <c r="M85" s="17"/>
      <c r="N85" s="18"/>
      <c r="O85" s="17"/>
      <c r="P85" s="18"/>
      <c r="Q85" s="17"/>
      <c r="R85" s="18"/>
      <c r="S85" s="17"/>
      <c r="T85" s="18"/>
      <c r="U85" s="17"/>
      <c r="V85" s="18"/>
      <c r="W85" s="17"/>
      <c r="X85" s="18"/>
      <c r="Y85" s="17"/>
      <c r="Z85" s="18"/>
    </row>
    <row r="86">
      <c r="A86" s="9"/>
      <c r="B86" s="9"/>
      <c r="C86" s="19">
        <f>IFERROR(__xludf.DUMMYFUNCTION("FILTER('配当金履歴一覧'!$G:$G,('配当金履歴一覧'!$C:$C=C83)*('配当金履歴一覧'!$B:$B=$B83))"),0.0)</f>
        <v>0</v>
      </c>
      <c r="D86" s="20">
        <f>IFERROR(__xludf.DUMMYFUNCTION("FILTER('配当金履歴一覧'!$H:$H,('配当金履歴一覧'!$C:$C=C83)*('配当金履歴一覧'!$B:$B=$B83))"),0.0)</f>
        <v>0</v>
      </c>
      <c r="E86" s="19">
        <f>IFERROR(__xludf.DUMMYFUNCTION("FILTER('配当金履歴一覧'!$G:$G,('配当金履歴一覧'!$C:$C=E83)*('配当金履歴一覧'!$B:$B=$B83))"),1.0)</f>
        <v>1</v>
      </c>
      <c r="F86" s="20">
        <f>IFERROR(__xludf.DUMMYFUNCTION("FILTER('配当金履歴一覧'!$H:$H,('配当金履歴一覧'!$C:$C=E83)*('配当金履歴一覧'!$B:$B=$B83))"),100.0)</f>
        <v>100</v>
      </c>
      <c r="G86" s="19">
        <f>IFERROR(__xludf.DUMMYFUNCTION("FILTER('配当金履歴一覧'!$G:$G,('配当金履歴一覧'!$C:$C=G83)*('配当金履歴一覧'!$B:$B=$B83))"),3.0)</f>
        <v>3</v>
      </c>
      <c r="H86" s="20">
        <f>IFERROR(__xludf.DUMMYFUNCTION("FILTER('配当金履歴一覧'!$H:$H,('配当金履歴一覧'!$C:$C=G83)*('配当金履歴一覧'!$B:$B=$B83))"),300.0)</f>
        <v>300</v>
      </c>
      <c r="I86" s="19">
        <f>IFERROR(__xludf.DUMMYFUNCTION("FILTER('配当金履歴一覧'!$G:$G,('配当金履歴一覧'!$C:$C=I83)*('配当金履歴一覧'!$B:$B=$B83))"),3.0)</f>
        <v>3</v>
      </c>
      <c r="J86" s="20">
        <f>IFERROR(__xludf.DUMMYFUNCTION("FILTER('配当金履歴一覧'!$H:$H,('配当金履歴一覧'!$C:$C=I83)*('配当金履歴一覧'!$B:$B=$B83))"),300.0)</f>
        <v>300</v>
      </c>
      <c r="K86" s="19"/>
      <c r="L86" s="20"/>
      <c r="M86" s="19"/>
      <c r="N86" s="20"/>
      <c r="O86" s="19"/>
      <c r="P86" s="20"/>
      <c r="Q86" s="19"/>
      <c r="R86" s="20"/>
      <c r="S86" s="19"/>
      <c r="T86" s="20"/>
      <c r="U86" s="19"/>
      <c r="V86" s="20"/>
      <c r="W86" s="19"/>
      <c r="X86" s="20"/>
      <c r="Y86" s="19"/>
      <c r="Z86" s="20"/>
    </row>
    <row r="87">
      <c r="A87" s="11">
        <v>8002.0</v>
      </c>
      <c r="B87" s="12" t="s">
        <v>32</v>
      </c>
      <c r="C87" s="13">
        <v>45444.0</v>
      </c>
      <c r="D87" s="5"/>
      <c r="E87" s="13">
        <v>45627.0</v>
      </c>
      <c r="F87" s="5"/>
      <c r="G87" s="13">
        <v>45809.0</v>
      </c>
      <c r="H87" s="5"/>
      <c r="I87" s="13">
        <v>45992.0</v>
      </c>
      <c r="J87" s="5"/>
      <c r="K87" s="13"/>
      <c r="L87" s="5"/>
      <c r="M87" s="13"/>
      <c r="N87" s="5"/>
      <c r="O87" s="13"/>
      <c r="P87" s="5"/>
      <c r="Q87" s="13"/>
      <c r="R87" s="5"/>
      <c r="S87" s="13"/>
      <c r="T87" s="5"/>
      <c r="U87" s="13"/>
      <c r="V87" s="5"/>
      <c r="W87" s="13"/>
      <c r="X87" s="5"/>
      <c r="Y87" s="13"/>
      <c r="Z87" s="5"/>
    </row>
    <row r="88">
      <c r="A88" s="6"/>
      <c r="B88" s="6"/>
      <c r="C88" s="15">
        <f>IFERROR(__xludf.DUMMYFUNCTION("FILTER('配当金履歴一覧'!$D:$D,('配当金履歴一覧'!$C:$C=C87)*('配当金履歴一覧'!$B:$B=$B87))"),43.5)</f>
        <v>43.5</v>
      </c>
      <c r="D88" s="5"/>
      <c r="E88" s="15">
        <f>IFERROR(__xludf.DUMMYFUNCTION("FILTER('配当金履歴一覧'!$D:$D,('配当金履歴一覧'!$C:$C=E87)*('配当金履歴一覧'!$B:$B=$B87))"),45.0)</f>
        <v>45</v>
      </c>
      <c r="F88" s="5"/>
      <c r="G88" s="15">
        <f>IFERROR(__xludf.DUMMYFUNCTION("FILTER('配当金履歴一覧'!$D:$D,('配当金履歴一覧'!$C:$C=G87)*('配当金履歴一覧'!$B:$B=$B87))"),50.0)</f>
        <v>50</v>
      </c>
      <c r="H88" s="5"/>
      <c r="I88" s="15">
        <f>IFERROR(__xludf.DUMMYFUNCTION("FILTER('配当金履歴一覧'!$D:$D,('配当金履歴一覧'!$C:$C=I87)*('配当金履歴一覧'!$B:$B=$B87))"),50.0)</f>
        <v>50</v>
      </c>
      <c r="J88" s="5"/>
      <c r="K88" s="21"/>
      <c r="L88" s="5"/>
      <c r="M88" s="21"/>
      <c r="N88" s="5"/>
      <c r="O88" s="21"/>
      <c r="P88" s="5"/>
      <c r="Q88" s="21"/>
      <c r="R88" s="5"/>
      <c r="S88" s="21"/>
      <c r="T88" s="5"/>
      <c r="U88" s="21"/>
      <c r="V88" s="5"/>
      <c r="W88" s="21"/>
      <c r="X88" s="5"/>
      <c r="Y88" s="21"/>
      <c r="Z88" s="5"/>
    </row>
    <row r="89">
      <c r="A89" s="6"/>
      <c r="B89" s="6"/>
      <c r="C89" s="17">
        <f>IFERROR(__xludf.DUMMYFUNCTION("FILTER('配当金履歴一覧'!$E:$E,('配当金履歴一覧'!$C:$C=C87)*('配当金履歴一覧'!$B:$B=$B87))"),9.0)</f>
        <v>9</v>
      </c>
      <c r="D89" s="18">
        <f>IFERROR(__xludf.DUMMYFUNCTION("FILTER('配当金履歴一覧'!$F:$F,('配当金履歴一覧'!$C:$C=C87)*('配当金履歴一覧'!$B:$B=$B87))"),313.0)</f>
        <v>313</v>
      </c>
      <c r="E89" s="17">
        <f>IFERROR(__xludf.DUMMYFUNCTION("FILTER('配当金履歴一覧'!$E:$E,('配当金履歴一覧'!$C:$C=E87)*('配当金履歴一覧'!$B:$B=$B87))"),9.0)</f>
        <v>9</v>
      </c>
      <c r="F89" s="18">
        <f>IFERROR(__xludf.DUMMYFUNCTION("FILTER('配当金履歴一覧'!$F:$F,('配当金履歴一覧'!$C:$C=E87)*('配当金履歴一覧'!$B:$B=$B87))"),323.0)</f>
        <v>323</v>
      </c>
      <c r="G89" s="17">
        <f>IFERROR(__xludf.DUMMYFUNCTION("FILTER('配当金履歴一覧'!$E:$E,('配当金履歴一覧'!$C:$C=G87)*('配当金履歴一覧'!$B:$B=$B87))"),9.0)</f>
        <v>9</v>
      </c>
      <c r="H89" s="18">
        <f>IFERROR(__xludf.DUMMYFUNCTION("FILTER('配当金履歴一覧'!$F:$F,('配当金履歴一覧'!$C:$C=G87)*('配当金履歴一覧'!$B:$B=$B87))"),360.0)</f>
        <v>360</v>
      </c>
      <c r="I89" s="17">
        <f>IFERROR(__xludf.DUMMYFUNCTION("FILTER('配当金履歴一覧'!$E:$E,('配当金履歴一覧'!$C:$C=I87)*('配当金履歴一覧'!$B:$B=$B87))"),9.0)</f>
        <v>9</v>
      </c>
      <c r="J89" s="18">
        <f>IFERROR(__xludf.DUMMYFUNCTION("FILTER('配当金履歴一覧'!$F:$F,('配当金履歴一覧'!$C:$C=I87)*('配当金履歴一覧'!$B:$B=$B87))"),360.0)</f>
        <v>360</v>
      </c>
      <c r="K89" s="17"/>
      <c r="L89" s="18"/>
      <c r="M89" s="17"/>
      <c r="N89" s="18"/>
      <c r="O89" s="17"/>
      <c r="P89" s="18"/>
      <c r="Q89" s="17"/>
      <c r="R89" s="18"/>
      <c r="S89" s="17"/>
      <c r="T89" s="18"/>
      <c r="U89" s="17"/>
      <c r="V89" s="18"/>
      <c r="W89" s="17"/>
      <c r="X89" s="18"/>
      <c r="Y89" s="17"/>
      <c r="Z89" s="18"/>
    </row>
    <row r="90">
      <c r="A90" s="9"/>
      <c r="B90" s="9"/>
      <c r="C90" s="19">
        <f>IFERROR(__xludf.DUMMYFUNCTION("FILTER('配当金履歴一覧'!$G:$G,('配当金履歴一覧'!$C:$C=C87)*('配当金履歴一覧'!$B:$B=$B87))"),3.0)</f>
        <v>3</v>
      </c>
      <c r="D90" s="20">
        <f>IFERROR(__xludf.DUMMYFUNCTION("FILTER('配当金履歴一覧'!$H:$H,('配当金履歴一覧'!$C:$C=C87)*('配当金履歴一覧'!$B:$B=$B87))"),131.0)</f>
        <v>131</v>
      </c>
      <c r="E90" s="19">
        <f>IFERROR(__xludf.DUMMYFUNCTION("FILTER('配当金履歴一覧'!$G:$G,('配当金履歴一覧'!$C:$C=E87)*('配当金履歴一覧'!$B:$B=$B87))"),5.0)</f>
        <v>5</v>
      </c>
      <c r="F90" s="20">
        <f>IFERROR(__xludf.DUMMYFUNCTION("FILTER('配当金履歴一覧'!$H:$H,('配当金履歴一覧'!$C:$C=E87)*('配当金履歴一覧'!$B:$B=$B87))"),225.0)</f>
        <v>225</v>
      </c>
      <c r="G90" s="19">
        <f>IFERROR(__xludf.DUMMYFUNCTION("FILTER('配当金履歴一覧'!$G:$G,('配当金履歴一覧'!$C:$C=G87)*('配当金履歴一覧'!$B:$B=$B87))"),7.0)</f>
        <v>7</v>
      </c>
      <c r="H90" s="20">
        <f>IFERROR(__xludf.DUMMYFUNCTION("FILTER('配当金履歴一覧'!$H:$H,('配当金履歴一覧'!$C:$C=G87)*('配当金履歴一覧'!$B:$B=$B87))"),350.0)</f>
        <v>350</v>
      </c>
      <c r="I90" s="19">
        <f>IFERROR(__xludf.DUMMYFUNCTION("FILTER('配当金履歴一覧'!$G:$G,('配当金履歴一覧'!$C:$C=I87)*('配当金履歴一覧'!$B:$B=$B87))"),9.0)</f>
        <v>9</v>
      </c>
      <c r="J90" s="20">
        <f>IFERROR(__xludf.DUMMYFUNCTION("FILTER('配当金履歴一覧'!$H:$H,('配当金履歴一覧'!$C:$C=I87)*('配当金履歴一覧'!$B:$B=$B87))"),450.0)</f>
        <v>450</v>
      </c>
      <c r="K90" s="19"/>
      <c r="L90" s="20"/>
      <c r="M90" s="19"/>
      <c r="N90" s="20"/>
      <c r="O90" s="19"/>
      <c r="P90" s="20"/>
      <c r="Q90" s="19"/>
      <c r="R90" s="20"/>
      <c r="S90" s="19"/>
      <c r="T90" s="20"/>
      <c r="U90" s="19"/>
      <c r="V90" s="20"/>
      <c r="W90" s="19"/>
      <c r="X90" s="20"/>
      <c r="Y90" s="19"/>
      <c r="Z90" s="20"/>
    </row>
    <row r="91">
      <c r="A91" s="11">
        <v>8031.0</v>
      </c>
      <c r="B91" s="12" t="s">
        <v>33</v>
      </c>
      <c r="C91" s="13">
        <v>45444.0</v>
      </c>
      <c r="D91" s="5"/>
      <c r="E91" s="13">
        <v>45627.0</v>
      </c>
      <c r="F91" s="5"/>
      <c r="G91" s="13">
        <v>45809.0</v>
      </c>
      <c r="H91" s="5"/>
      <c r="I91" s="13">
        <v>45992.0</v>
      </c>
      <c r="J91" s="5"/>
      <c r="K91" s="13"/>
      <c r="L91" s="5"/>
      <c r="M91" s="13"/>
      <c r="N91" s="5"/>
      <c r="O91" s="13"/>
      <c r="P91" s="5"/>
      <c r="Q91" s="13"/>
      <c r="R91" s="5"/>
      <c r="S91" s="13"/>
      <c r="T91" s="5"/>
      <c r="U91" s="13"/>
      <c r="V91" s="5"/>
      <c r="W91" s="13"/>
      <c r="X91" s="5"/>
      <c r="Y91" s="13"/>
      <c r="Z91" s="5"/>
    </row>
    <row r="92">
      <c r="A92" s="6"/>
      <c r="B92" s="6"/>
      <c r="C92" s="15">
        <f>IFERROR(__xludf.DUMMYFUNCTION("FILTER('配当金履歴一覧'!$D:$D,('配当金履歴一覧'!$C:$C=C91)*('配当金履歴一覧'!$B:$B=$B91))"),85.0)</f>
        <v>85</v>
      </c>
      <c r="D92" s="5"/>
      <c r="E92" s="14">
        <f>IFERROR(__xludf.DUMMYFUNCTION("FILTER('配当金履歴一覧'!$D:$D,('配当金履歴一覧'!$C:$C=E91)*('配当金履歴一覧'!$B:$B=$B91))"),50.0)</f>
        <v>50</v>
      </c>
      <c r="F92" s="5"/>
      <c r="G92" s="15">
        <f>IFERROR(__xludf.DUMMYFUNCTION("FILTER('配当金履歴一覧'!$D:$D,('配当金履歴一覧'!$C:$C=G91)*('配当金履歴一覧'!$B:$B=$B91))"),50.0)</f>
        <v>50</v>
      </c>
      <c r="H92" s="5"/>
      <c r="I92" s="15">
        <f>IFERROR(__xludf.DUMMYFUNCTION("FILTER('配当金履歴一覧'!$D:$D,('配当金履歴一覧'!$C:$C=I91)*('配当金履歴一覧'!$B:$B=$B91))"),55.0)</f>
        <v>55</v>
      </c>
      <c r="J92" s="5"/>
      <c r="K92" s="21"/>
      <c r="L92" s="5"/>
      <c r="M92" s="21"/>
      <c r="N92" s="5"/>
      <c r="O92" s="21"/>
      <c r="P92" s="5"/>
      <c r="Q92" s="21"/>
      <c r="R92" s="5"/>
      <c r="S92" s="21"/>
      <c r="T92" s="5"/>
      <c r="U92" s="21"/>
      <c r="V92" s="5"/>
      <c r="W92" s="21"/>
      <c r="X92" s="5"/>
      <c r="Y92" s="21"/>
      <c r="Z92" s="5"/>
    </row>
    <row r="93">
      <c r="A93" s="6"/>
      <c r="B93" s="6"/>
      <c r="C93" s="17">
        <f>IFERROR(__xludf.DUMMYFUNCTION("FILTER('配当金履歴一覧'!$E:$E,('配当金履歴一覧'!$C:$C=C91)*('配当金履歴一覧'!$B:$B=$B91))"),12.0)</f>
        <v>12</v>
      </c>
      <c r="D93" s="18">
        <f>IFERROR(__xludf.DUMMYFUNCTION("FILTER('配当金履歴一覧'!$F:$F,('配当金履歴一覧'!$C:$C=C91)*('配当金履歴一覧'!$B:$B=$B91))"),813.0)</f>
        <v>813</v>
      </c>
      <c r="E93" s="17">
        <f>IFERROR(__xludf.DUMMYFUNCTION("FILTER('配当金履歴一覧'!$E:$E,('配当金履歴一覧'!$C:$C=E91)*('配当金履歴一覧'!$B:$B=$B91))"),24.0)</f>
        <v>24</v>
      </c>
      <c r="F93" s="18">
        <f>IFERROR(__xludf.DUMMYFUNCTION("FILTER('配当金履歴一覧'!$F:$F,('配当金履歴一覧'!$C:$C=E91)*('配当金履歴一覧'!$B:$B=$B91))"),957.0)</f>
        <v>957</v>
      </c>
      <c r="G93" s="17">
        <f>IFERROR(__xludf.DUMMYFUNCTION("FILTER('配当金履歴一覧'!$E:$E,('配当金履歴一覧'!$C:$C=G91)*('配当金履歴一覧'!$B:$B=$B91))"),24.0)</f>
        <v>24</v>
      </c>
      <c r="H93" s="18">
        <f>IFERROR(__xludf.DUMMYFUNCTION("FILTER('配当金履歴一覧'!$F:$F,('配当金履歴一覧'!$C:$C=G91)*('配当金履歴一覧'!$B:$B=$B91))"),957.0)</f>
        <v>957</v>
      </c>
      <c r="I93" s="17">
        <f>IFERROR(__xludf.DUMMYFUNCTION("FILTER('配当金履歴一覧'!$E:$E,('配当金履歴一覧'!$C:$C=I91)*('配当金履歴一覧'!$B:$B=$B91))"),24.0)</f>
        <v>24</v>
      </c>
      <c r="J93" s="18">
        <f>IFERROR(__xludf.DUMMYFUNCTION("FILTER('配当金履歴一覧'!$F:$F,('配当金履歴一覧'!$C:$C=I91)*('配当金履歴一覧'!$B:$B=$B91))"),1052.0)</f>
        <v>1052</v>
      </c>
      <c r="K93" s="17"/>
      <c r="L93" s="18"/>
      <c r="M93" s="17"/>
      <c r="N93" s="18"/>
      <c r="O93" s="17"/>
      <c r="P93" s="18"/>
      <c r="Q93" s="17"/>
      <c r="R93" s="18"/>
      <c r="S93" s="17"/>
      <c r="T93" s="18"/>
      <c r="U93" s="17"/>
      <c r="V93" s="18"/>
      <c r="W93" s="17"/>
      <c r="X93" s="18"/>
      <c r="Y93" s="17"/>
      <c r="Z93" s="18"/>
    </row>
    <row r="94">
      <c r="A94" s="9"/>
      <c r="B94" s="9"/>
      <c r="C94" s="19">
        <f>IFERROR(__xludf.DUMMYFUNCTION("FILTER('配当金履歴一覧'!$G:$G,('配当金履歴一覧'!$C:$C=C91)*('配当金履歴一覧'!$B:$B=$B91))"),1.0)</f>
        <v>1</v>
      </c>
      <c r="D94" s="20">
        <f>IFERROR(__xludf.DUMMYFUNCTION("FILTER('配当金履歴一覧'!$H:$H,('配当金履歴一覧'!$C:$C=C91)*('配当金履歴一覧'!$B:$B=$B91))"),85.0)</f>
        <v>85</v>
      </c>
      <c r="E94" s="19">
        <f>IFERROR(__xludf.DUMMYFUNCTION("FILTER('配当金履歴一覧'!$G:$G,('配当金履歴一覧'!$C:$C=E91)*('配当金履歴一覧'!$B:$B=$B91))"),3.0)</f>
        <v>3</v>
      </c>
      <c r="F94" s="20">
        <f>IFERROR(__xludf.DUMMYFUNCTION("FILTER('配当金履歴一覧'!$H:$H,('配当金履歴一覧'!$C:$C=E91)*('配当金履歴一覧'!$B:$B=$B91))"),150.0)</f>
        <v>150</v>
      </c>
      <c r="G94" s="19">
        <f>IFERROR(__xludf.DUMMYFUNCTION("FILTER('配当金履歴一覧'!$G:$G,('配当金履歴一覧'!$C:$C=G91)*('配当金履歴一覧'!$B:$B=$B91))"),6.0)</f>
        <v>6</v>
      </c>
      <c r="H94" s="20">
        <f>IFERROR(__xludf.DUMMYFUNCTION("FILTER('配当金履歴一覧'!$H:$H,('配当金履歴一覧'!$C:$C=G91)*('配当金履歴一覧'!$B:$B=$B91))"),300.0)</f>
        <v>300</v>
      </c>
      <c r="I94" s="19">
        <f>IFERROR(__xludf.DUMMYFUNCTION("FILTER('配当金履歴一覧'!$G:$G,('配当金履歴一覧'!$C:$C=I91)*('配当金履歴一覧'!$B:$B=$B91))"),7.0)</f>
        <v>7</v>
      </c>
      <c r="J94" s="20">
        <f>IFERROR(__xludf.DUMMYFUNCTION("FILTER('配当金履歴一覧'!$H:$H,('配当金履歴一覧'!$C:$C=I91)*('配当金履歴一覧'!$B:$B=$B91))"),385.0)</f>
        <v>385</v>
      </c>
      <c r="K94" s="19"/>
      <c r="L94" s="20"/>
      <c r="M94" s="19"/>
      <c r="N94" s="20"/>
      <c r="O94" s="19"/>
      <c r="P94" s="20"/>
      <c r="Q94" s="19"/>
      <c r="R94" s="20"/>
      <c r="S94" s="19"/>
      <c r="T94" s="20"/>
      <c r="U94" s="19"/>
      <c r="V94" s="20"/>
      <c r="W94" s="19"/>
      <c r="X94" s="20"/>
      <c r="Y94" s="19"/>
      <c r="Z94" s="20"/>
    </row>
    <row r="95">
      <c r="A95" s="11">
        <v>8053.0</v>
      </c>
      <c r="B95" s="12" t="s">
        <v>34</v>
      </c>
      <c r="C95" s="13">
        <v>45444.0</v>
      </c>
      <c r="D95" s="5"/>
      <c r="E95" s="13">
        <v>45627.0</v>
      </c>
      <c r="F95" s="5"/>
      <c r="G95" s="13">
        <v>45809.0</v>
      </c>
      <c r="H95" s="5"/>
      <c r="I95" s="13">
        <v>45992.0</v>
      </c>
      <c r="J95" s="5"/>
      <c r="K95" s="13"/>
      <c r="L95" s="5"/>
      <c r="M95" s="13"/>
      <c r="N95" s="5"/>
      <c r="O95" s="13"/>
      <c r="P95" s="5"/>
      <c r="Q95" s="13"/>
      <c r="R95" s="5"/>
      <c r="S95" s="13"/>
      <c r="T95" s="5"/>
      <c r="U95" s="13"/>
      <c r="V95" s="5"/>
      <c r="W95" s="13"/>
      <c r="X95" s="5"/>
      <c r="Y95" s="13"/>
      <c r="Z95" s="5"/>
    </row>
    <row r="96">
      <c r="A96" s="6"/>
      <c r="B96" s="6"/>
      <c r="C96" s="15">
        <f>IFERROR(__xludf.DUMMYFUNCTION("FILTER('配当金履歴一覧'!$D:$D,('配当金履歴一覧'!$C:$C=C95)*('配当金履歴一覧'!$B:$B=$B95))"),62.5)</f>
        <v>62.5</v>
      </c>
      <c r="D96" s="5"/>
      <c r="E96" s="15">
        <f>IFERROR(__xludf.DUMMYFUNCTION("FILTER('配当金履歴一覧'!$D:$D,('配当金履歴一覧'!$C:$C=E95)*('配当金履歴一覧'!$B:$B=$B95))"),65.0)</f>
        <v>65</v>
      </c>
      <c r="F96" s="5"/>
      <c r="G96" s="15">
        <f>IFERROR(__xludf.DUMMYFUNCTION("FILTER('配当金履歴一覧'!$D:$D,('配当金履歴一覧'!$C:$C=G95)*('配当金履歴一覧'!$B:$B=$B95))"),65.0)</f>
        <v>65</v>
      </c>
      <c r="H96" s="5"/>
      <c r="I96" s="15">
        <f>IFERROR(__xludf.DUMMYFUNCTION("FILTER('配当金履歴一覧'!$D:$D,('配当金履歴一覧'!$C:$C=I95)*('配当金履歴一覧'!$B:$B=$B95))"),70.0)</f>
        <v>70</v>
      </c>
      <c r="J96" s="5"/>
      <c r="K96" s="21"/>
      <c r="L96" s="5"/>
      <c r="M96" s="21"/>
      <c r="N96" s="5"/>
      <c r="O96" s="21"/>
      <c r="P96" s="5"/>
      <c r="Q96" s="21"/>
      <c r="R96" s="5"/>
      <c r="S96" s="21"/>
      <c r="T96" s="5"/>
      <c r="U96" s="21"/>
      <c r="V96" s="5"/>
      <c r="W96" s="21"/>
      <c r="X96" s="5"/>
      <c r="Y96" s="21"/>
      <c r="Z96" s="5"/>
    </row>
    <row r="97">
      <c r="A97" s="6"/>
      <c r="B97" s="6"/>
      <c r="C97" s="17">
        <f>IFERROR(__xludf.DUMMYFUNCTION("FILTER('配当金履歴一覧'!$E:$E,('配当金履歴一覧'!$C:$C=C95)*('配当金履歴一覧'!$B:$B=$B95))"),9.0)</f>
        <v>9</v>
      </c>
      <c r="D97" s="18">
        <f>IFERROR(__xludf.DUMMYFUNCTION("FILTER('配当金履歴一覧'!$F:$F,('配当金履歴一覧'!$C:$C=C95)*('配当金履歴一覧'!$B:$B=$B95))"),448.0)</f>
        <v>448</v>
      </c>
      <c r="E97" s="17">
        <f>IFERROR(__xludf.DUMMYFUNCTION("FILTER('配当金履歴一覧'!$E:$E,('配当金履歴一覧'!$C:$C=E95)*('配当金履歴一覧'!$B:$B=$B95))"),9.0)</f>
        <v>9</v>
      </c>
      <c r="F97" s="18">
        <f>IFERROR(__xludf.DUMMYFUNCTION("FILTER('配当金履歴一覧'!$F:$F,('配当金履歴一覧'!$C:$C=E95)*('配当金履歴一覧'!$B:$B=$B95))"),467.0)</f>
        <v>467</v>
      </c>
      <c r="G97" s="17">
        <f>IFERROR(__xludf.DUMMYFUNCTION("FILTER('配当金履歴一覧'!$E:$E,('配当金履歴一覧'!$C:$C=G95)*('配当金履歴一覧'!$B:$B=$B95))"),9.0)</f>
        <v>9</v>
      </c>
      <c r="H97" s="18">
        <f>IFERROR(__xludf.DUMMYFUNCTION("FILTER('配当金履歴一覧'!$F:$F,('配当金履歴一覧'!$C:$C=G95)*('配当金履歴一覧'!$B:$B=$B95))"),467.0)</f>
        <v>467</v>
      </c>
      <c r="I97" s="17">
        <f>IFERROR(__xludf.DUMMYFUNCTION("FILTER('配当金履歴一覧'!$E:$E,('配当金履歴一覧'!$C:$C=I95)*('配当金履歴一覧'!$B:$B=$B95))"),9.0)</f>
        <v>9</v>
      </c>
      <c r="J97" s="18">
        <f>IFERROR(__xludf.DUMMYFUNCTION("FILTER('配当金履歴一覧'!$F:$F,('配当金履歴一覧'!$C:$C=I95)*('配当金履歴一覧'!$B:$B=$B95))"),503.0)</f>
        <v>503</v>
      </c>
      <c r="K97" s="17"/>
      <c r="L97" s="18"/>
      <c r="M97" s="17"/>
      <c r="N97" s="18"/>
      <c r="O97" s="17"/>
      <c r="P97" s="18"/>
      <c r="Q97" s="17"/>
      <c r="R97" s="18"/>
      <c r="S97" s="17"/>
      <c r="T97" s="18"/>
      <c r="U97" s="17"/>
      <c r="V97" s="18"/>
      <c r="W97" s="17"/>
      <c r="X97" s="18"/>
      <c r="Y97" s="17"/>
      <c r="Z97" s="18"/>
    </row>
    <row r="98">
      <c r="A98" s="9"/>
      <c r="B98" s="9"/>
      <c r="C98" s="19">
        <f>IFERROR(__xludf.DUMMYFUNCTION("FILTER('配当金履歴一覧'!$G:$G,('配当金履歴一覧'!$C:$C=C95)*('配当金履歴一覧'!$B:$B=$B95))"),2.0)</f>
        <v>2</v>
      </c>
      <c r="D98" s="20">
        <f>IFERROR(__xludf.DUMMYFUNCTION("FILTER('配当金履歴一覧'!$H:$H,('配当金履歴一覧'!$C:$C=C95)*('配当金履歴一覧'!$B:$B=$B95))"),125.0)</f>
        <v>125</v>
      </c>
      <c r="E98" s="19">
        <f>IFERROR(__xludf.DUMMYFUNCTION("FILTER('配当金履歴一覧'!$G:$G,('配当金履歴一覧'!$C:$C=E95)*('配当金履歴一覧'!$B:$B=$B95))"),3.0)</f>
        <v>3</v>
      </c>
      <c r="F98" s="20">
        <f>IFERROR(__xludf.DUMMYFUNCTION("FILTER('配当金履歴一覧'!$H:$H,('配当金履歴一覧'!$C:$C=E95)*('配当金履歴一覧'!$B:$B=$B95))"),195.0)</f>
        <v>195</v>
      </c>
      <c r="G98" s="19">
        <f>IFERROR(__xludf.DUMMYFUNCTION("FILTER('配当金履歴一覧'!$G:$G,('配当金履歴一覧'!$C:$C=G95)*('配当金履歴一覧'!$B:$B=$B95))"),5.0)</f>
        <v>5</v>
      </c>
      <c r="H98" s="20">
        <f>IFERROR(__xludf.DUMMYFUNCTION("FILTER('配当金履歴一覧'!$H:$H,('配当金履歴一覧'!$C:$C=G95)*('配当金履歴一覧'!$B:$B=$B95))"),325.0)</f>
        <v>325</v>
      </c>
      <c r="I98" s="19">
        <f>IFERROR(__xludf.DUMMYFUNCTION("FILTER('配当金履歴一覧'!$G:$G,('配当金履歴一覧'!$C:$C=I95)*('配当金履歴一覧'!$B:$B=$B95))"),8.0)</f>
        <v>8</v>
      </c>
      <c r="J98" s="20">
        <f>IFERROR(__xludf.DUMMYFUNCTION("FILTER('配当金履歴一覧'!$H:$H,('配当金履歴一覧'!$C:$C=I95)*('配当金履歴一覧'!$B:$B=$B95))"),560.0)</f>
        <v>560</v>
      </c>
      <c r="K98" s="19"/>
      <c r="L98" s="20"/>
      <c r="M98" s="19"/>
      <c r="N98" s="20"/>
      <c r="O98" s="19"/>
      <c r="P98" s="20"/>
      <c r="Q98" s="19"/>
      <c r="R98" s="20"/>
      <c r="S98" s="19"/>
      <c r="T98" s="20"/>
      <c r="U98" s="19"/>
      <c r="V98" s="20"/>
      <c r="W98" s="19"/>
      <c r="X98" s="20"/>
      <c r="Y98" s="19"/>
      <c r="Z98" s="20"/>
    </row>
    <row r="99">
      <c r="A99" s="11">
        <v>8058.0</v>
      </c>
      <c r="B99" s="12" t="s">
        <v>35</v>
      </c>
      <c r="C99" s="13">
        <v>45444.0</v>
      </c>
      <c r="D99" s="5"/>
      <c r="E99" s="13">
        <v>45627.0</v>
      </c>
      <c r="F99" s="5"/>
      <c r="G99" s="13">
        <v>45809.0</v>
      </c>
      <c r="H99" s="5"/>
      <c r="I99" s="13">
        <v>45992.0</v>
      </c>
      <c r="J99" s="5"/>
      <c r="K99" s="13"/>
      <c r="L99" s="5"/>
      <c r="M99" s="13"/>
      <c r="N99" s="5"/>
      <c r="O99" s="13"/>
      <c r="P99" s="5"/>
      <c r="Q99" s="13"/>
      <c r="R99" s="5"/>
      <c r="S99" s="13"/>
      <c r="T99" s="5"/>
      <c r="U99" s="13"/>
      <c r="V99" s="5"/>
      <c r="W99" s="13"/>
      <c r="X99" s="5"/>
      <c r="Y99" s="13"/>
      <c r="Z99" s="5"/>
    </row>
    <row r="100">
      <c r="A100" s="6"/>
      <c r="B100" s="6"/>
      <c r="C100" s="15">
        <f>IFERROR(__xludf.DUMMYFUNCTION("FILTER('配当金履歴一覧'!$D:$D,('配当金履歴一覧'!$C:$C=C99)*('配当金履歴一覧'!$B:$B=$B99))"),35.0)</f>
        <v>35</v>
      </c>
      <c r="D100" s="5"/>
      <c r="E100" s="15">
        <f>IFERROR(__xludf.DUMMYFUNCTION("FILTER('配当金履歴一覧'!$D:$D,('配当金履歴一覧'!$C:$C=E99)*('配当金履歴一覧'!$B:$B=$B99))"),50.0)</f>
        <v>50</v>
      </c>
      <c r="F100" s="5"/>
      <c r="G100" s="15">
        <f>IFERROR(__xludf.DUMMYFUNCTION("FILTER('配当金履歴一覧'!$D:$D,('配当金履歴一覧'!$C:$C=G99)*('配当金履歴一覧'!$B:$B=$B99))"),50.0)</f>
        <v>50</v>
      </c>
      <c r="H100" s="5"/>
      <c r="I100" s="15">
        <f>IFERROR(__xludf.DUMMYFUNCTION("FILTER('配当金履歴一覧'!$D:$D,('配当金履歴一覧'!$C:$C=I99)*('配当金履歴一覧'!$B:$B=$B99))"),55.0)</f>
        <v>55</v>
      </c>
      <c r="J100" s="5"/>
      <c r="K100" s="21"/>
      <c r="L100" s="5"/>
      <c r="M100" s="21"/>
      <c r="N100" s="5"/>
      <c r="O100" s="21"/>
      <c r="P100" s="5"/>
      <c r="Q100" s="21"/>
      <c r="R100" s="5"/>
      <c r="S100" s="21"/>
      <c r="T100" s="5"/>
      <c r="U100" s="21"/>
      <c r="V100" s="5"/>
      <c r="W100" s="21"/>
      <c r="X100" s="5"/>
      <c r="Y100" s="21"/>
      <c r="Z100" s="5"/>
    </row>
    <row r="101">
      <c r="A101" s="6"/>
      <c r="B101" s="6"/>
      <c r="C101" s="17">
        <f>IFERROR(__xludf.DUMMYFUNCTION("FILTER('配当金履歴一覧'!$E:$E,('配当金履歴一覧'!$C:$C=C99)*('配当金履歴一覧'!$B:$B=$B99))"),15.0)</f>
        <v>15</v>
      </c>
      <c r="D101" s="18">
        <f>IFERROR(__xludf.DUMMYFUNCTION("FILTER('配当金履歴一覧'!$F:$F,('配当金履歴一覧'!$C:$C=C99)*('配当金履歴一覧'!$B:$B=$B99))"),419.0)</f>
        <v>419</v>
      </c>
      <c r="E101" s="17">
        <f>IFERROR(__xludf.DUMMYFUNCTION("FILTER('配当金履歴一覧'!$E:$E,('配当金履歴一覧'!$C:$C=E99)*('配当金履歴一覧'!$B:$B=$B99))"),15.0)</f>
        <v>15</v>
      </c>
      <c r="F101" s="18">
        <f>IFERROR(__xludf.DUMMYFUNCTION("FILTER('配当金履歴一覧'!$F:$F,('配当金履歴一覧'!$C:$C=E99)*('配当金履歴一覧'!$B:$B=$B99))"),599.0)</f>
        <v>599</v>
      </c>
      <c r="G101" s="17">
        <f>IFERROR(__xludf.DUMMYFUNCTION("FILTER('配当金履歴一覧'!$E:$E,('配当金履歴一覧'!$C:$C=G99)*('配当金履歴一覧'!$B:$B=$B99))"),15.0)</f>
        <v>15</v>
      </c>
      <c r="H101" s="18">
        <f>IFERROR(__xludf.DUMMYFUNCTION("FILTER('配当金履歴一覧'!$F:$F,('配当金履歴一覧'!$C:$C=G99)*('配当金履歴一覧'!$B:$B=$B99))"),599.0)</f>
        <v>599</v>
      </c>
      <c r="I101" s="17">
        <f>IFERROR(__xludf.DUMMYFUNCTION("FILTER('配当金履歴一覧'!$E:$E,('配当金履歴一覧'!$C:$C=I99)*('配当金履歴一覧'!$B:$B=$B99))"),15.0)</f>
        <v>15</v>
      </c>
      <c r="J101" s="18">
        <f>IFERROR(__xludf.DUMMYFUNCTION("FILTER('配当金履歴一覧'!$F:$F,('配当金履歴一覧'!$C:$C=I99)*('配当金履歴一覧'!$B:$B=$B99))"),658.0)</f>
        <v>658</v>
      </c>
      <c r="K101" s="17"/>
      <c r="L101" s="18"/>
      <c r="M101" s="17"/>
      <c r="N101" s="18"/>
      <c r="O101" s="17"/>
      <c r="P101" s="18"/>
      <c r="Q101" s="17"/>
      <c r="R101" s="18"/>
      <c r="S101" s="17"/>
      <c r="T101" s="18"/>
      <c r="U101" s="17"/>
      <c r="V101" s="18"/>
      <c r="W101" s="17"/>
      <c r="X101" s="18"/>
      <c r="Y101" s="17"/>
      <c r="Z101" s="18"/>
    </row>
    <row r="102">
      <c r="A102" s="9"/>
      <c r="B102" s="9"/>
      <c r="C102" s="19">
        <f>IFERROR(__xludf.DUMMYFUNCTION("FILTER('配当金履歴一覧'!$G:$G,('配当金履歴一覧'!$C:$C=C99)*('配当金履歴一覧'!$B:$B=$B99))"),0.0)</f>
        <v>0</v>
      </c>
      <c r="D102" s="20">
        <f>IFERROR(__xludf.DUMMYFUNCTION("FILTER('配当金履歴一覧'!$H:$H,('配当金履歴一覧'!$C:$C=C99)*('配当金履歴一覧'!$B:$B=$B99))"),0.0)</f>
        <v>0</v>
      </c>
      <c r="E102" s="19">
        <f>IFERROR(__xludf.DUMMYFUNCTION("FILTER('配当金履歴一覧'!$G:$G,('配当金履歴一覧'!$C:$C=E99)*('配当金履歴一覧'!$B:$B=$B99))"),0.0)</f>
        <v>0</v>
      </c>
      <c r="F102" s="20">
        <f>IFERROR(__xludf.DUMMYFUNCTION("FILTER('配当金履歴一覧'!$H:$H,('配当金履歴一覧'!$C:$C=E99)*('配当金履歴一覧'!$B:$B=$B99))"),0.0)</f>
        <v>0</v>
      </c>
      <c r="G102" s="19">
        <f>IFERROR(__xludf.DUMMYFUNCTION("FILTER('配当金履歴一覧'!$G:$G,('配当金履歴一覧'!$C:$C=G99)*('配当金履歴一覧'!$B:$B=$B99))"),6.0)</f>
        <v>6</v>
      </c>
      <c r="H102" s="20">
        <f>IFERROR(__xludf.DUMMYFUNCTION("FILTER('配当金履歴一覧'!$H:$H,('配当金履歴一覧'!$C:$C=G99)*('配当金履歴一覧'!$B:$B=$B99))"),300.0)</f>
        <v>300</v>
      </c>
      <c r="I102" s="19">
        <f>IFERROR(__xludf.DUMMYFUNCTION("FILTER('配当金履歴一覧'!$G:$G,('配当金履歴一覧'!$C:$C=I99)*('配当金履歴一覧'!$B:$B=$B99))"),9.0)</f>
        <v>9</v>
      </c>
      <c r="J102" s="20">
        <f>IFERROR(__xludf.DUMMYFUNCTION("FILTER('配当金履歴一覧'!$H:$H,('配当金履歴一覧'!$C:$C=I99)*('配当金履歴一覧'!$B:$B=$B99))"),495.0)</f>
        <v>495</v>
      </c>
      <c r="K102" s="19"/>
      <c r="L102" s="20"/>
      <c r="M102" s="19"/>
      <c r="N102" s="20"/>
      <c r="O102" s="19"/>
      <c r="P102" s="20"/>
      <c r="Q102" s="19"/>
      <c r="R102" s="20"/>
      <c r="S102" s="19"/>
      <c r="T102" s="20"/>
      <c r="U102" s="19"/>
      <c r="V102" s="20"/>
      <c r="W102" s="19"/>
      <c r="X102" s="20"/>
      <c r="Y102" s="19"/>
      <c r="Z102" s="20"/>
    </row>
    <row r="103">
      <c r="A103" s="11">
        <v>8304.0</v>
      </c>
      <c r="B103" s="12" t="s">
        <v>36</v>
      </c>
      <c r="C103" s="13">
        <v>45536.0</v>
      </c>
      <c r="D103" s="5"/>
      <c r="E103" s="13">
        <v>45627.0</v>
      </c>
      <c r="F103" s="5"/>
      <c r="G103" s="13">
        <v>45717.0</v>
      </c>
      <c r="H103" s="5"/>
      <c r="I103" s="13">
        <v>45809.0</v>
      </c>
      <c r="J103" s="5"/>
      <c r="K103" s="13">
        <v>45901.0</v>
      </c>
      <c r="L103" s="5"/>
      <c r="M103" s="13">
        <v>45992.0</v>
      </c>
      <c r="N103" s="5"/>
      <c r="O103" s="13"/>
      <c r="P103" s="5"/>
      <c r="Q103" s="13"/>
      <c r="R103" s="5"/>
      <c r="S103" s="13"/>
      <c r="T103" s="5"/>
      <c r="U103" s="13"/>
      <c r="V103" s="5"/>
      <c r="W103" s="13"/>
      <c r="X103" s="5"/>
      <c r="Y103" s="13"/>
      <c r="Z103" s="5"/>
    </row>
    <row r="104">
      <c r="A104" s="6"/>
      <c r="B104" s="6"/>
      <c r="C104" s="14">
        <f>IFERROR(__xludf.DUMMYFUNCTION("FILTER('配当金履歴一覧'!$D:$D,('配当金履歴一覧'!$C:$C=C103)*('配当金履歴一覧'!$B:$B=$B103))"),19.0)</f>
        <v>19</v>
      </c>
      <c r="D104" s="5"/>
      <c r="E104" s="14">
        <f>IFERROR(__xludf.DUMMYFUNCTION("FILTER('配当金履歴一覧'!$D:$D,('配当金履歴一覧'!$C:$C=E103)*('配当金履歴一覧'!$B:$B=$B103))"),19.0)</f>
        <v>19</v>
      </c>
      <c r="F104" s="5"/>
      <c r="G104" s="15">
        <f>IFERROR(__xludf.DUMMYFUNCTION("FILTER('配当金履歴一覧'!$D:$D,('配当金履歴一覧'!$C:$C=G103)*('配当金履歴一覧'!$B:$B=$B103))"),19.0)</f>
        <v>19</v>
      </c>
      <c r="H104" s="5"/>
      <c r="I104" s="15">
        <f>IFERROR(__xludf.DUMMYFUNCTION("FILTER('配当金履歴一覧'!$D:$D,('配当金履歴一覧'!$C:$C=I103)*('配当金履歴一覧'!$B:$B=$B103))"),22.0)</f>
        <v>22</v>
      </c>
      <c r="J104" s="5"/>
      <c r="K104" s="15">
        <f>IFERROR(__xludf.DUMMYFUNCTION("FILTER('配当金履歴一覧'!$D:$D,('配当金履歴一覧'!$C:$C=K103)*('配当金履歴一覧'!$B:$B=$B103))"),22.0)</f>
        <v>22</v>
      </c>
      <c r="L104" s="5"/>
      <c r="M104" s="15">
        <f>IFERROR(__xludf.DUMMYFUNCTION("FILTER('配当金履歴一覧'!$D:$D,('配当金履歴一覧'!$C:$C=M103)*('配当金履歴一覧'!$B:$B=$B103))"),22.0)</f>
        <v>22</v>
      </c>
      <c r="N104" s="5"/>
      <c r="O104" s="23"/>
      <c r="P104" s="5"/>
      <c r="Q104" s="23"/>
      <c r="R104" s="5"/>
      <c r="S104" s="23"/>
      <c r="T104" s="5"/>
      <c r="U104" s="23"/>
      <c r="V104" s="5"/>
      <c r="W104" s="23"/>
      <c r="X104" s="5"/>
      <c r="Y104" s="23"/>
      <c r="Z104" s="5"/>
    </row>
    <row r="105">
      <c r="A105" s="6"/>
      <c r="B105" s="6"/>
      <c r="C105" s="17">
        <f>IFERROR(__xludf.DUMMYFUNCTION("FILTER('配当金履歴一覧'!$E:$E,('配当金履歴一覧'!$C:$C=C103)*('配当金履歴一覧'!$B:$B=$B103))"),0.0)</f>
        <v>0</v>
      </c>
      <c r="D105" s="18">
        <f>IFERROR(__xludf.DUMMYFUNCTION("FILTER('配当金履歴一覧'!$F:$F,('配当金履歴一覧'!$C:$C=C103)*('配当金履歴一覧'!$B:$B=$B103))"),0.0)</f>
        <v>0</v>
      </c>
      <c r="E105" s="17">
        <f>IFERROR(__xludf.DUMMYFUNCTION("FILTER('配当金履歴一覧'!$E:$E,('配当金履歴一覧'!$C:$C=E103)*('配当金履歴一覧'!$B:$B=$B103))"),0.0)</f>
        <v>0</v>
      </c>
      <c r="F105" s="18">
        <f>IFERROR(__xludf.DUMMYFUNCTION("FILTER('配当金履歴一覧'!$F:$F,('配当金履歴一覧'!$C:$C=E103)*('配当金履歴一覧'!$B:$B=$B103))"),0.0)</f>
        <v>0</v>
      </c>
      <c r="G105" s="17">
        <f>IFERROR(__xludf.DUMMYFUNCTION("FILTER('配当金履歴一覧'!$E:$E,('配当金履歴一覧'!$C:$C=G103)*('配当金履歴一覧'!$B:$B=$B103))"),0.0)</f>
        <v>0</v>
      </c>
      <c r="H105" s="18">
        <f>IFERROR(__xludf.DUMMYFUNCTION("FILTER('配当金履歴一覧'!$F:$F,('配当金履歴一覧'!$C:$C=G103)*('配当金履歴一覧'!$B:$B=$B103))"),0.0)</f>
        <v>0</v>
      </c>
      <c r="I105" s="17">
        <f>IFERROR(__xludf.DUMMYFUNCTION("FILTER('配当金履歴一覧'!$E:$E,('配当金履歴一覧'!$C:$C=I103)*('配当金履歴一覧'!$B:$B=$B103))"),0.0)</f>
        <v>0</v>
      </c>
      <c r="J105" s="18">
        <f>IFERROR(__xludf.DUMMYFUNCTION("FILTER('配当金履歴一覧'!$F:$F,('配当金履歴一覧'!$C:$C=I103)*('配当金履歴一覧'!$B:$B=$B103))"),0.0)</f>
        <v>0</v>
      </c>
      <c r="K105" s="17">
        <f>IFERROR(__xludf.DUMMYFUNCTION("FILTER('配当金履歴一覧'!$E:$E,('配当金履歴一覧'!$C:$C=K103)*('配当金履歴一覧'!$B:$B=$B103))"),0.0)</f>
        <v>0</v>
      </c>
      <c r="L105" s="18">
        <f>IFERROR(__xludf.DUMMYFUNCTION("FILTER('配当金履歴一覧'!$F:$F,('配当金履歴一覧'!$C:$C=K103)*('配当金履歴一覧'!$B:$B=$B103))"),0.0)</f>
        <v>0</v>
      </c>
      <c r="M105" s="17">
        <f>IFERROR(__xludf.DUMMYFUNCTION("FILTER('配当金履歴一覧'!$E:$E,('配当金履歴一覧'!$C:$C=M103)*('配当金履歴一覧'!$B:$B=$B103))"),0.0)</f>
        <v>0</v>
      </c>
      <c r="N105" s="18">
        <f>IFERROR(__xludf.DUMMYFUNCTION("FILTER('配当金履歴一覧'!$F:$F,('配当金履歴一覧'!$C:$C=M103)*('配当金履歴一覧'!$B:$B=$B103))"),0.0)</f>
        <v>0</v>
      </c>
      <c r="O105" s="17"/>
      <c r="P105" s="18"/>
      <c r="Q105" s="17"/>
      <c r="R105" s="18"/>
      <c r="S105" s="17"/>
      <c r="T105" s="18"/>
      <c r="U105" s="17"/>
      <c r="V105" s="18"/>
      <c r="W105" s="17"/>
      <c r="X105" s="18"/>
      <c r="Y105" s="17"/>
      <c r="Z105" s="18"/>
    </row>
    <row r="106">
      <c r="A106" s="9"/>
      <c r="B106" s="9"/>
      <c r="C106" s="19">
        <f>IFERROR(__xludf.DUMMYFUNCTION("FILTER('配当金履歴一覧'!$G:$G,('配当金履歴一覧'!$C:$C=C103)*('配当金履歴一覧'!$B:$B=$B103))"),6.0)</f>
        <v>6</v>
      </c>
      <c r="D106" s="20">
        <f>IFERROR(__xludf.DUMMYFUNCTION("FILTER('配当金履歴一覧'!$H:$H,('配当金履歴一覧'!$C:$C=C103)*('配当金履歴一覧'!$B:$B=$B103))"),114.0)</f>
        <v>114</v>
      </c>
      <c r="E106" s="19">
        <f>IFERROR(__xludf.DUMMYFUNCTION("FILTER('配当金履歴一覧'!$G:$G,('配当金履歴一覧'!$C:$C=E103)*('配当金履歴一覧'!$B:$B=$B103))"),6.0)</f>
        <v>6</v>
      </c>
      <c r="F106" s="20">
        <f>IFERROR(__xludf.DUMMYFUNCTION("FILTER('配当金履歴一覧'!$H:$H,('配当金履歴一覧'!$C:$C=E103)*('配当金履歴一覧'!$B:$B=$B103))"),114.0)</f>
        <v>114</v>
      </c>
      <c r="G106" s="19">
        <f>IFERROR(__xludf.DUMMYFUNCTION("FILTER('配当金履歴一覧'!$G:$G,('配当金履歴一覧'!$C:$C=G103)*('配当金履歴一覧'!$B:$B=$B103))"),6.0)</f>
        <v>6</v>
      </c>
      <c r="H106" s="20">
        <f>IFERROR(__xludf.DUMMYFUNCTION("FILTER('配当金履歴一覧'!$H:$H,('配当金履歴一覧'!$C:$C=G103)*('配当金履歴一覧'!$B:$B=$B103))"),114.0)</f>
        <v>114</v>
      </c>
      <c r="I106" s="19">
        <f>IFERROR(__xludf.DUMMYFUNCTION("FILTER('配当金履歴一覧'!$G:$G,('配当金履歴一覧'!$C:$C=I103)*('配当金履歴一覧'!$B:$B=$B103))"),7.0)</f>
        <v>7</v>
      </c>
      <c r="J106" s="20">
        <f>IFERROR(__xludf.DUMMYFUNCTION("FILTER('配当金履歴一覧'!$H:$H,('配当金履歴一覧'!$C:$C=I103)*('配当金履歴一覧'!$B:$B=$B103))"),154.0)</f>
        <v>154</v>
      </c>
      <c r="K106" s="19">
        <f>IFERROR(__xludf.DUMMYFUNCTION("FILTER('配当金履歴一覧'!$G:$G,('配当金履歴一覧'!$C:$C=K103)*('配当金履歴一覧'!$B:$B=$B103))"),9.0)</f>
        <v>9</v>
      </c>
      <c r="L106" s="20">
        <f>IFERROR(__xludf.DUMMYFUNCTION("FILTER('配当金履歴一覧'!$H:$H,('配当金履歴一覧'!$C:$C=K103)*('配当金履歴一覧'!$B:$B=$B103))"),198.0)</f>
        <v>198</v>
      </c>
      <c r="M106" s="19">
        <f>IFERROR(__xludf.DUMMYFUNCTION("FILTER('配当金履歴一覧'!$G:$G,('配当金履歴一覧'!$C:$C=M103)*('配当金履歴一覧'!$B:$B=$B103))"),9.0)</f>
        <v>9</v>
      </c>
      <c r="N106" s="20">
        <f>IFERROR(__xludf.DUMMYFUNCTION("FILTER('配当金履歴一覧'!$H:$H,('配当金履歴一覧'!$C:$C=M103)*('配当金履歴一覧'!$B:$B=$B103))"),198.0)</f>
        <v>198</v>
      </c>
      <c r="O106" s="19"/>
      <c r="P106" s="20"/>
      <c r="Q106" s="19"/>
      <c r="R106" s="20"/>
      <c r="S106" s="19"/>
      <c r="T106" s="20"/>
      <c r="U106" s="19"/>
      <c r="V106" s="20"/>
      <c r="W106" s="19"/>
      <c r="X106" s="20"/>
      <c r="Y106" s="19"/>
      <c r="Z106" s="20"/>
    </row>
    <row r="107">
      <c r="A107" s="11">
        <v>8306.0</v>
      </c>
      <c r="B107" s="12" t="s">
        <v>37</v>
      </c>
      <c r="C107" s="13">
        <v>45444.0</v>
      </c>
      <c r="D107" s="5"/>
      <c r="E107" s="13">
        <v>45627.0</v>
      </c>
      <c r="F107" s="5"/>
      <c r="G107" s="13">
        <v>45809.0</v>
      </c>
      <c r="H107" s="5"/>
      <c r="I107" s="13">
        <v>45992.0</v>
      </c>
      <c r="J107" s="5"/>
      <c r="K107" s="13"/>
      <c r="L107" s="5"/>
      <c r="M107" s="13"/>
      <c r="N107" s="5"/>
      <c r="O107" s="13"/>
      <c r="P107" s="5"/>
      <c r="Q107" s="13"/>
      <c r="R107" s="5"/>
      <c r="S107" s="13"/>
      <c r="T107" s="5"/>
      <c r="U107" s="13"/>
      <c r="V107" s="5"/>
      <c r="W107" s="13"/>
      <c r="X107" s="5"/>
      <c r="Y107" s="13"/>
      <c r="Z107" s="5"/>
    </row>
    <row r="108">
      <c r="A108" s="6"/>
      <c r="B108" s="6"/>
      <c r="C108" s="15">
        <f>IFERROR(__xludf.DUMMYFUNCTION("FILTER('配当金履歴一覧'!$D:$D,('配当金履歴一覧'!$C:$C=C107)*('配当金履歴一覧'!$B:$B=$B107))"),20.5)</f>
        <v>20.5</v>
      </c>
      <c r="D108" s="5"/>
      <c r="E108" s="15">
        <f>IFERROR(__xludf.DUMMYFUNCTION("FILTER('配当金履歴一覧'!$D:$D,('配当金履歴一覧'!$C:$C=E107)*('配当金履歴一覧'!$B:$B=$B107))"),25.0)</f>
        <v>25</v>
      </c>
      <c r="F108" s="5"/>
      <c r="G108" s="15">
        <f>IFERROR(__xludf.DUMMYFUNCTION("FILTER('配当金履歴一覧'!$D:$D,('配当金履歴一覧'!$C:$C=G107)*('配当金履歴一覧'!$B:$B=$B107))"),39.0)</f>
        <v>39</v>
      </c>
      <c r="H108" s="5"/>
      <c r="I108" s="15">
        <f>IFERROR(__xludf.DUMMYFUNCTION("FILTER('配当金履歴一覧'!$D:$D,('配当金履歴一覧'!$C:$C=I107)*('配当金履歴一覧'!$B:$B=$B107))"),35.0)</f>
        <v>35</v>
      </c>
      <c r="J108" s="5"/>
      <c r="K108" s="21"/>
      <c r="L108" s="5"/>
      <c r="M108" s="21"/>
      <c r="N108" s="5"/>
      <c r="O108" s="21"/>
      <c r="P108" s="5"/>
      <c r="Q108" s="21"/>
      <c r="R108" s="5"/>
      <c r="S108" s="21"/>
      <c r="T108" s="5"/>
      <c r="U108" s="21"/>
      <c r="V108" s="5"/>
      <c r="W108" s="21"/>
      <c r="X108" s="5"/>
      <c r="Y108" s="21"/>
      <c r="Z108" s="5"/>
    </row>
    <row r="109">
      <c r="A109" s="6"/>
      <c r="B109" s="6"/>
      <c r="C109" s="17">
        <f>IFERROR(__xludf.DUMMYFUNCTION("FILTER('配当金履歴一覧'!$E:$E,('配当金履歴一覧'!$C:$C=C107)*('配当金履歴一覧'!$B:$B=$B107))"),22.0)</f>
        <v>22</v>
      </c>
      <c r="D109" s="18">
        <f>IFERROR(__xludf.DUMMYFUNCTION("FILTER('配当金履歴一覧'!$F:$F,('配当金履歴一覧'!$C:$C=C107)*('配当金履歴一覧'!$B:$B=$B107))"),360.0)</f>
        <v>360</v>
      </c>
      <c r="E109" s="17">
        <f>IFERROR(__xludf.DUMMYFUNCTION("FILTER('配当金履歴一覧'!$E:$E,('配当金履歴一覧'!$C:$C=E107)*('配当金履歴一覧'!$B:$B=$B107))"),22.0)</f>
        <v>22</v>
      </c>
      <c r="F109" s="18">
        <f>IFERROR(__xludf.DUMMYFUNCTION("FILTER('配当金履歴一覧'!$F:$F,('配当金履歴一覧'!$C:$C=E107)*('配当金履歴一覧'!$B:$B=$B107))"),439.0)</f>
        <v>439</v>
      </c>
      <c r="G109" s="17">
        <f>IFERROR(__xludf.DUMMYFUNCTION("FILTER('配当金履歴一覧'!$E:$E,('配当金履歴一覧'!$C:$C=G107)*('配当金履歴一覧'!$B:$B=$B107))"),22.0)</f>
        <v>22</v>
      </c>
      <c r="H109" s="18">
        <f>IFERROR(__xludf.DUMMYFUNCTION("FILTER('配当金履歴一覧'!$F:$F,('配当金履歴一覧'!$C:$C=G107)*('配当金履歴一覧'!$B:$B=$B107))"),685.0)</f>
        <v>685</v>
      </c>
      <c r="I109" s="17">
        <f>IFERROR(__xludf.DUMMYFUNCTION("FILTER('配当金履歴一覧'!$E:$E,('配当金履歴一覧'!$C:$C=I107)*('配当金履歴一覧'!$B:$B=$B107))"),22.0)</f>
        <v>22</v>
      </c>
      <c r="J109" s="18">
        <f>IFERROR(__xludf.DUMMYFUNCTION("FILTER('配当金履歴一覧'!$F:$F,('配当金履歴一覧'!$C:$C=I107)*('配当金履歴一覧'!$B:$B=$B107))"),615.0)</f>
        <v>615</v>
      </c>
      <c r="K109" s="17"/>
      <c r="L109" s="18"/>
      <c r="M109" s="17"/>
      <c r="N109" s="18"/>
      <c r="O109" s="17"/>
      <c r="P109" s="18"/>
      <c r="Q109" s="17"/>
      <c r="R109" s="18"/>
      <c r="S109" s="17"/>
      <c r="T109" s="18"/>
      <c r="U109" s="17"/>
      <c r="V109" s="18"/>
      <c r="W109" s="17"/>
      <c r="X109" s="18"/>
      <c r="Y109" s="17"/>
      <c r="Z109" s="18"/>
    </row>
    <row r="110">
      <c r="A110" s="9"/>
      <c r="B110" s="9"/>
      <c r="C110" s="19">
        <f>IFERROR(__xludf.DUMMYFUNCTION("FILTER('配当金履歴一覧'!$G:$G,('配当金履歴一覧'!$C:$C=C107)*('配当金履歴一覧'!$B:$B=$B107))"),0.0)</f>
        <v>0</v>
      </c>
      <c r="D110" s="20">
        <f>IFERROR(__xludf.DUMMYFUNCTION("FILTER('配当金履歴一覧'!$H:$H,('配当金履歴一覧'!$C:$C=C107)*('配当金履歴一覧'!$B:$B=$B107))"),0.0)</f>
        <v>0</v>
      </c>
      <c r="E110" s="19">
        <f>IFERROR(__xludf.DUMMYFUNCTION("FILTER('配当金履歴一覧'!$G:$G,('配当金履歴一覧'!$C:$C=E107)*('配当金履歴一覧'!$B:$B=$B107))"),6.0)</f>
        <v>6</v>
      </c>
      <c r="F110" s="20">
        <f>IFERROR(__xludf.DUMMYFUNCTION("FILTER('配当金履歴一覧'!$H:$H,('配当金履歴一覧'!$C:$C=E107)*('配当金履歴一覧'!$B:$B=$B107))"),150.0)</f>
        <v>150</v>
      </c>
      <c r="G110" s="19">
        <f>IFERROR(__xludf.DUMMYFUNCTION("FILTER('配当金履歴一覧'!$G:$G,('配当金履歴一覧'!$C:$C=G107)*('配当金履歴一覧'!$B:$B=$B107))"),7.0)</f>
        <v>7</v>
      </c>
      <c r="H110" s="20">
        <f>IFERROR(__xludf.DUMMYFUNCTION("FILTER('配当金履歴一覧'!$H:$H,('配当金履歴一覧'!$C:$C=G107)*('配当金履歴一覧'!$B:$B=$B107))"),273.0)</f>
        <v>273</v>
      </c>
      <c r="I110" s="19">
        <f>IFERROR(__xludf.DUMMYFUNCTION("FILTER('配当金履歴一覧'!$G:$G,('配当金履歴一覧'!$C:$C=I107)*('配当金履歴一覧'!$B:$B=$B107))"),10.0)</f>
        <v>10</v>
      </c>
      <c r="J110" s="20">
        <f>IFERROR(__xludf.DUMMYFUNCTION("FILTER('配当金履歴一覧'!$H:$H,('配当金履歴一覧'!$C:$C=I107)*('配当金履歴一覧'!$B:$B=$B107))"),350.0)</f>
        <v>350</v>
      </c>
      <c r="K110" s="19"/>
      <c r="L110" s="20"/>
      <c r="M110" s="19"/>
      <c r="N110" s="20"/>
      <c r="O110" s="19"/>
      <c r="P110" s="20"/>
      <c r="Q110" s="19"/>
      <c r="R110" s="20"/>
      <c r="S110" s="19"/>
      <c r="T110" s="20"/>
      <c r="U110" s="19"/>
      <c r="V110" s="20"/>
      <c r="W110" s="19"/>
      <c r="X110" s="20"/>
      <c r="Y110" s="19"/>
      <c r="Z110" s="20"/>
    </row>
    <row r="111">
      <c r="A111" s="11">
        <v>8316.0</v>
      </c>
      <c r="B111" s="12" t="s">
        <v>38</v>
      </c>
      <c r="C111" s="13">
        <v>45444.0</v>
      </c>
      <c r="D111" s="5"/>
      <c r="E111" s="13">
        <v>45627.0</v>
      </c>
      <c r="F111" s="5"/>
      <c r="G111" s="13">
        <v>45839.0</v>
      </c>
      <c r="H111" s="5"/>
      <c r="I111" s="13">
        <v>45992.0</v>
      </c>
      <c r="J111" s="5"/>
      <c r="K111" s="13"/>
      <c r="L111" s="5"/>
      <c r="M111" s="13"/>
      <c r="N111" s="5"/>
      <c r="O111" s="13"/>
      <c r="P111" s="5"/>
      <c r="Q111" s="13"/>
      <c r="R111" s="5"/>
      <c r="S111" s="13"/>
      <c r="T111" s="5"/>
      <c r="U111" s="13"/>
      <c r="V111" s="5"/>
      <c r="W111" s="13"/>
      <c r="X111" s="5"/>
      <c r="Y111" s="13"/>
      <c r="Z111" s="5"/>
    </row>
    <row r="112">
      <c r="A112" s="6"/>
      <c r="B112" s="6"/>
      <c r="C112" s="15">
        <f>IFERROR(__xludf.DUMMYFUNCTION("FILTER('配当金履歴一覧'!$D:$D,('配当金履歴一覧'!$C:$C=C111)*('配当金履歴一覧'!$B:$B=$B111))"),135.0)</f>
        <v>135</v>
      </c>
      <c r="D112" s="5"/>
      <c r="E112" s="15">
        <f>IFERROR(__xludf.DUMMYFUNCTION("FILTER('配当金履歴一覧'!$D:$D,('配当金履歴一覧'!$C:$C=E111)*('配当金履歴一覧'!$B:$B=$B111))"),180.0)</f>
        <v>180</v>
      </c>
      <c r="F112" s="5"/>
      <c r="G112" s="15">
        <f>IFERROR(__xludf.DUMMYFUNCTION("FILTER('配当金履歴一覧'!$D:$D,('配当金履歴一覧'!$C:$C=G111)*('配当金履歴一覧'!$B:$B=$B111))"),62.0)</f>
        <v>62</v>
      </c>
      <c r="H112" s="5"/>
      <c r="I112" s="15">
        <f>IFERROR(__xludf.DUMMYFUNCTION("FILTER('配当金履歴一覧'!$D:$D,('配当金履歴一覧'!$C:$C=I111)*('配当金履歴一覧'!$B:$B=$B111))"),78.0)</f>
        <v>78</v>
      </c>
      <c r="J112" s="5"/>
      <c r="K112" s="21"/>
      <c r="L112" s="5"/>
      <c r="M112" s="21"/>
      <c r="N112" s="5"/>
      <c r="O112" s="21"/>
      <c r="P112" s="5"/>
      <c r="Q112" s="21"/>
      <c r="R112" s="5"/>
      <c r="S112" s="21"/>
      <c r="T112" s="5"/>
      <c r="U112" s="21"/>
      <c r="V112" s="5"/>
      <c r="W112" s="21"/>
      <c r="X112" s="5"/>
      <c r="Y112" s="21"/>
      <c r="Z112" s="5"/>
    </row>
    <row r="113">
      <c r="A113" s="6"/>
      <c r="B113" s="6"/>
      <c r="C113" s="17">
        <f>IFERROR(__xludf.DUMMYFUNCTION("FILTER('配当金履歴一覧'!$E:$E,('配当金履歴一覧'!$C:$C=C111)*('配当金履歴一覧'!$B:$B=$B111))"),10.0)</f>
        <v>10</v>
      </c>
      <c r="D113" s="18">
        <f>IFERROR(__xludf.DUMMYFUNCTION("FILTER('配当金履歴一覧'!$F:$F,('配当金履歴一覧'!$C:$C=C111)*('配当金履歴一覧'!$B:$B=$B111))"),1077.0)</f>
        <v>1077</v>
      </c>
      <c r="E113" s="17">
        <f>IFERROR(__xludf.DUMMYFUNCTION("FILTER('配当金履歴一覧'!$E:$E,('配当金履歴一覧'!$C:$C=E111)*('配当金履歴一覧'!$B:$B=$B111))"),10.0)</f>
        <v>10</v>
      </c>
      <c r="F113" s="18">
        <f>IFERROR(__xludf.DUMMYFUNCTION("FILTER('配当金履歴一覧'!$F:$F,('配当金履歴一覧'!$C:$C=E111)*('配当金履歴一覧'!$B:$B=$B111))"),1435.0)</f>
        <v>1435</v>
      </c>
      <c r="G113" s="17">
        <f>IFERROR(__xludf.DUMMYFUNCTION("FILTER('配当金履歴一覧'!$E:$E,('配当金履歴一覧'!$C:$C=G111)*('配当金履歴一覧'!$B:$B=$B111))"),30.0)</f>
        <v>30</v>
      </c>
      <c r="H113" s="18">
        <f>IFERROR(__xludf.DUMMYFUNCTION("FILTER('配当金履歴一覧'!$F:$F,('配当金履歴一覧'!$C:$C=G111)*('配当金履歴一覧'!$B:$B=$B111))"),1483.0)</f>
        <v>1483</v>
      </c>
      <c r="I113" s="17">
        <f>IFERROR(__xludf.DUMMYFUNCTION("FILTER('配当金履歴一覧'!$E:$E,('配当金履歴一覧'!$C:$C=I111)*('配当金履歴一覧'!$B:$B=$B111))"),30.0)</f>
        <v>30</v>
      </c>
      <c r="J113" s="18">
        <f>IFERROR(__xludf.DUMMYFUNCTION("FILTER('配当金履歴一覧'!$F:$F,('配当金履歴一覧'!$C:$C=I111)*('配当金履歴一覧'!$B:$B=$B111))"),1865.0)</f>
        <v>1865</v>
      </c>
      <c r="K113" s="17"/>
      <c r="L113" s="18"/>
      <c r="M113" s="17"/>
      <c r="N113" s="18"/>
      <c r="O113" s="17"/>
      <c r="P113" s="18"/>
      <c r="Q113" s="17"/>
      <c r="R113" s="18"/>
      <c r="S113" s="17"/>
      <c r="T113" s="18"/>
      <c r="U113" s="17"/>
      <c r="V113" s="18"/>
      <c r="W113" s="17"/>
      <c r="X113" s="18"/>
      <c r="Y113" s="17"/>
      <c r="Z113" s="18"/>
    </row>
    <row r="114">
      <c r="A114" s="9"/>
      <c r="B114" s="9"/>
      <c r="C114" s="19">
        <f>IFERROR(__xludf.DUMMYFUNCTION("FILTER('配当金履歴一覧'!$G:$G,('配当金履歴一覧'!$C:$C=C111)*('配当金履歴一覧'!$B:$B=$B111))"),0.0)</f>
        <v>0</v>
      </c>
      <c r="D114" s="20">
        <f>IFERROR(__xludf.DUMMYFUNCTION("FILTER('配当金履歴一覧'!$H:$H,('配当金履歴一覧'!$C:$C=C111)*('配当金履歴一覧'!$B:$B=$B111))"),0.0)</f>
        <v>0</v>
      </c>
      <c r="E114" s="19">
        <f>IFERROR(__xludf.DUMMYFUNCTION("FILTER('配当金履歴一覧'!$G:$G,('配当金履歴一覧'!$C:$C=E111)*('配当金履歴一覧'!$B:$B=$B111))"),1.0)</f>
        <v>1</v>
      </c>
      <c r="F114" s="20">
        <f>IFERROR(__xludf.DUMMYFUNCTION("FILTER('配当金履歴一覧'!$H:$H,('配当金履歴一覧'!$C:$C=E111)*('配当金履歴一覧'!$B:$B=$B111))"),180.0)</f>
        <v>180</v>
      </c>
      <c r="G114" s="19">
        <f>IFERROR(__xludf.DUMMYFUNCTION("FILTER('配当金履歴一覧'!$G:$G,('配当金履歴一覧'!$C:$C=G111)*('配当金履歴一覧'!$B:$B=$B111))"),4.0)</f>
        <v>4</v>
      </c>
      <c r="H114" s="20">
        <f>IFERROR(__xludf.DUMMYFUNCTION("FILTER('配当金履歴一覧'!$H:$H,('配当金履歴一覧'!$C:$C=G111)*('配当金履歴一覧'!$B:$B=$B111))"),248.0)</f>
        <v>248</v>
      </c>
      <c r="I114" s="19">
        <f>IFERROR(__xludf.DUMMYFUNCTION("FILTER('配当金履歴一覧'!$G:$G,('配当金履歴一覧'!$C:$C=I111)*('配当金履歴一覧'!$B:$B=$B111))"),6.0)</f>
        <v>6</v>
      </c>
      <c r="J114" s="20">
        <f>IFERROR(__xludf.DUMMYFUNCTION("FILTER('配当金履歴一覧'!$H:$H,('配当金履歴一覧'!$C:$C=I111)*('配当金履歴一覧'!$B:$B=$B111))"),468.0)</f>
        <v>468</v>
      </c>
      <c r="K114" s="19"/>
      <c r="L114" s="20"/>
      <c r="M114" s="19"/>
      <c r="N114" s="20"/>
      <c r="O114" s="19"/>
      <c r="P114" s="20"/>
      <c r="Q114" s="19"/>
      <c r="R114" s="20"/>
      <c r="S114" s="19"/>
      <c r="T114" s="20"/>
      <c r="U114" s="19"/>
      <c r="V114" s="20"/>
      <c r="W114" s="19"/>
      <c r="X114" s="20"/>
      <c r="Y114" s="19"/>
      <c r="Z114" s="20"/>
    </row>
    <row r="115">
      <c r="A115" s="11">
        <v>8410.0</v>
      </c>
      <c r="B115" s="12" t="s">
        <v>39</v>
      </c>
      <c r="C115" s="13">
        <v>45444.0</v>
      </c>
      <c r="D115" s="5"/>
      <c r="E115" s="13">
        <v>45627.0</v>
      </c>
      <c r="F115" s="5"/>
      <c r="G115" s="13">
        <v>45809.0</v>
      </c>
      <c r="H115" s="5"/>
      <c r="I115" s="13">
        <v>45992.0</v>
      </c>
      <c r="J115" s="5"/>
      <c r="K115" s="13"/>
      <c r="L115" s="5"/>
      <c r="M115" s="13"/>
      <c r="N115" s="5"/>
      <c r="O115" s="13"/>
      <c r="P115" s="5"/>
      <c r="Q115" s="13"/>
      <c r="R115" s="5"/>
      <c r="S115" s="13"/>
      <c r="T115" s="5"/>
      <c r="U115" s="13"/>
      <c r="V115" s="5"/>
      <c r="W115" s="13"/>
      <c r="X115" s="5"/>
      <c r="Y115" s="13"/>
      <c r="Z115" s="5"/>
    </row>
    <row r="116">
      <c r="A116" s="6"/>
      <c r="B116" s="6"/>
      <c r="C116" s="22">
        <f>IFERROR(__xludf.DUMMYFUNCTION("FILTER('配当金履歴一覧'!$D:$D,('配当金履歴一覧'!$C:$C=C115)*('配当金履歴一覧'!$B:$B=$B115))"),5.5)</f>
        <v>5.5</v>
      </c>
      <c r="D116" s="5"/>
      <c r="E116" s="22">
        <f>IFERROR(__xludf.DUMMYFUNCTION("FILTER('配当金履歴一覧'!$D:$D,('配当金履歴一覧'!$C:$C=E115)*('配当金履歴一覧'!$B:$B=$B115))"),5.5)</f>
        <v>5.5</v>
      </c>
      <c r="F116" s="5"/>
      <c r="G116" s="22">
        <f>IFERROR(__xludf.DUMMYFUNCTION("FILTER('配当金履歴一覧'!$D:$D,('配当金履歴一覧'!$C:$C=G115)*('配当金履歴一覧'!$B:$B=$B115))"),5.5)</f>
        <v>5.5</v>
      </c>
      <c r="H116" s="5"/>
      <c r="I116" s="22">
        <f>IFERROR(__xludf.DUMMYFUNCTION("FILTER('配当金履歴一覧'!$D:$D,('配当金履歴一覧'!$C:$C=I115)*('配当金履歴一覧'!$B:$B=$B115))"),5.5)</f>
        <v>5.5</v>
      </c>
      <c r="J116" s="5"/>
      <c r="K116" s="21"/>
      <c r="L116" s="5"/>
      <c r="M116" s="21"/>
      <c r="N116" s="5"/>
      <c r="O116" s="21"/>
      <c r="P116" s="5"/>
      <c r="Q116" s="21"/>
      <c r="R116" s="5"/>
      <c r="S116" s="21"/>
      <c r="T116" s="5"/>
      <c r="U116" s="21"/>
      <c r="V116" s="5"/>
      <c r="W116" s="21"/>
      <c r="X116" s="5"/>
      <c r="Y116" s="21"/>
      <c r="Z116" s="5"/>
    </row>
    <row r="117">
      <c r="A117" s="9"/>
      <c r="B117" s="9"/>
      <c r="C117" s="19">
        <f>IFERROR(__xludf.DUMMYFUNCTION("FILTER('配当金履歴一覧'!$G:$G,('配当金履歴一覧'!$C:$C=C115)*('配当金履歴一覧'!$B:$B=$B115))"),50.0)</f>
        <v>50</v>
      </c>
      <c r="D117" s="20">
        <f>IFERROR(__xludf.DUMMYFUNCTION("FILTER('配当金履歴一覧'!$H:$H,('配当金履歴一覧'!$C:$C=C115)*('配当金履歴一覧'!$B:$B=$B115))"),275.0)</f>
        <v>275</v>
      </c>
      <c r="E117" s="19">
        <f>IFERROR(__xludf.DUMMYFUNCTION("FILTER('配当金履歴一覧'!$G:$G,('配当金履歴一覧'!$C:$C=E115)*('配当金履歴一覧'!$B:$B=$B115))"),50.0)</f>
        <v>50</v>
      </c>
      <c r="F117" s="20">
        <f>IFERROR(__xludf.DUMMYFUNCTION("FILTER('配当金履歴一覧'!$H:$H,('配当金履歴一覧'!$C:$C=E115)*('配当金履歴一覧'!$B:$B=$B115))"),275.0)</f>
        <v>275</v>
      </c>
      <c r="G117" s="19">
        <f>IFERROR(__xludf.DUMMYFUNCTION("FILTER('配当金履歴一覧'!$G:$G,('配当金履歴一覧'!$C:$C=G115)*('配当金履歴一覧'!$B:$B=$B115))"),50.0)</f>
        <v>50</v>
      </c>
      <c r="H117" s="20">
        <f>IFERROR(__xludf.DUMMYFUNCTION("FILTER('配当金履歴一覧'!$H:$H,('配当金履歴一覧'!$C:$C=G115)*('配当金履歴一覧'!$B:$B=$B115))"),275.0)</f>
        <v>275</v>
      </c>
      <c r="I117" s="19">
        <f>IFERROR(__xludf.DUMMYFUNCTION("FILTER('配当金履歴一覧'!$G:$G,('配当金履歴一覧'!$C:$C=I115)*('配当金履歴一覧'!$B:$B=$B115))"),50.0)</f>
        <v>50</v>
      </c>
      <c r="J117" s="20">
        <f>IFERROR(__xludf.DUMMYFUNCTION("FILTER('配当金履歴一覧'!$H:$H,('配当金履歴一覧'!$C:$C=I115)*('配当金履歴一覧'!$B:$B=$B115))"),275.0)</f>
        <v>275</v>
      </c>
      <c r="K117" s="19"/>
      <c r="L117" s="20"/>
      <c r="M117" s="19"/>
      <c r="N117" s="20"/>
      <c r="O117" s="19"/>
      <c r="P117" s="20"/>
      <c r="Q117" s="19"/>
      <c r="R117" s="20"/>
      <c r="S117" s="19"/>
      <c r="T117" s="20"/>
      <c r="U117" s="19"/>
      <c r="V117" s="20"/>
      <c r="W117" s="19"/>
      <c r="X117" s="20"/>
      <c r="Y117" s="19"/>
      <c r="Z117" s="20"/>
    </row>
    <row r="118">
      <c r="A118" s="11">
        <v>8473.0</v>
      </c>
      <c r="B118" s="12" t="s">
        <v>40</v>
      </c>
      <c r="C118" s="13">
        <v>45444.0</v>
      </c>
      <c r="D118" s="5"/>
      <c r="E118" s="13">
        <v>45627.0</v>
      </c>
      <c r="F118" s="5"/>
      <c r="G118" s="13">
        <v>45809.0</v>
      </c>
      <c r="H118" s="5"/>
      <c r="I118" s="13">
        <v>45992.0</v>
      </c>
      <c r="J118" s="5"/>
      <c r="K118" s="13"/>
      <c r="L118" s="5"/>
      <c r="M118" s="13"/>
      <c r="N118" s="5"/>
      <c r="O118" s="13"/>
      <c r="P118" s="5"/>
      <c r="Q118" s="13"/>
      <c r="R118" s="5"/>
      <c r="S118" s="13"/>
      <c r="T118" s="5"/>
      <c r="U118" s="13"/>
      <c r="V118" s="5"/>
      <c r="W118" s="13"/>
      <c r="X118" s="5"/>
      <c r="Y118" s="13"/>
      <c r="Z118" s="5"/>
    </row>
    <row r="119">
      <c r="A119" s="6"/>
      <c r="B119" s="6"/>
      <c r="C119" s="15">
        <f>IFERROR(__xludf.DUMMYFUNCTION("FILTER('配当金履歴一覧'!$D:$D,('配当金履歴一覧'!$C:$C=C118)*('配当金履歴一覧'!$B:$B=$B118))"),130.0)</f>
        <v>130</v>
      </c>
      <c r="D119" s="5"/>
      <c r="E119" s="22">
        <f>IFERROR(__xludf.DUMMYFUNCTION("FILTER('配当金履歴一覧'!$D:$D,('配当金履歴一覧'!$C:$C=E118)*('配当金履歴一覧'!$B:$B=$B118))"),30.0)</f>
        <v>30</v>
      </c>
      <c r="F119" s="5"/>
      <c r="G119" s="15">
        <f>IFERROR(__xludf.DUMMYFUNCTION("FILTER('配当金履歴一覧'!$D:$D,('配当金履歴一覧'!$C:$C=G118)*('配当金履歴一覧'!$B:$B=$B118))"),140.0)</f>
        <v>140</v>
      </c>
      <c r="H119" s="5"/>
      <c r="I119" s="15">
        <f>IFERROR(__xludf.DUMMYFUNCTION("FILTER('配当金履歴一覧'!$D:$D,('配当金履歴一覧'!$C:$C=I118)*('配当金履歴一覧'!$B:$B=$B118))"),40.0)</f>
        <v>40</v>
      </c>
      <c r="J119" s="5"/>
      <c r="K119" s="21"/>
      <c r="L119" s="5"/>
      <c r="M119" s="21"/>
      <c r="N119" s="5"/>
      <c r="O119" s="21"/>
      <c r="P119" s="5"/>
      <c r="Q119" s="21"/>
      <c r="R119" s="5"/>
      <c r="S119" s="21"/>
      <c r="T119" s="5"/>
      <c r="U119" s="21"/>
      <c r="V119" s="5"/>
      <c r="W119" s="21"/>
      <c r="X119" s="5"/>
      <c r="Y119" s="21"/>
      <c r="Z119" s="5"/>
    </row>
    <row r="120">
      <c r="A120" s="6"/>
      <c r="B120" s="6"/>
      <c r="C120" s="17">
        <f>IFERROR(__xludf.DUMMYFUNCTION("FILTER('配当金履歴一覧'!$E:$E,('配当金履歴一覧'!$C:$C=C118)*('配当金履歴一覧'!$B:$B=$B118))"),11.0)</f>
        <v>11</v>
      </c>
      <c r="D120" s="18">
        <f>IFERROR(__xludf.DUMMYFUNCTION("FILTER('配当金履歴一覧'!$F:$F,('配当金履歴一覧'!$C:$C=C118)*('配当金履歴一覧'!$B:$B=$B118))"),1140.0)</f>
        <v>1140</v>
      </c>
      <c r="E120" s="17">
        <f>IFERROR(__xludf.DUMMYFUNCTION("FILTER('配当金履歴一覧'!$E:$E,('配当金履歴一覧'!$C:$C=E118)*('配当金履歴一覧'!$B:$B=$B118))"),11.0)</f>
        <v>11</v>
      </c>
      <c r="F120" s="18">
        <f>IFERROR(__xludf.DUMMYFUNCTION("FILTER('配当金履歴一覧'!$F:$F,('配当金履歴一覧'!$C:$C=E118)*('配当金履歴一覧'!$B:$B=$B118))"),264.0)</f>
        <v>264</v>
      </c>
      <c r="G120" s="17">
        <f>IFERROR(__xludf.DUMMYFUNCTION("FILTER('配当金履歴一覧'!$E:$E,('配当金履歴一覧'!$C:$C=G118)*('配当金履歴一覧'!$B:$B=$B118))"),11.0)</f>
        <v>11</v>
      </c>
      <c r="H120" s="18">
        <f>IFERROR(__xludf.DUMMYFUNCTION("FILTER('配当金履歴一覧'!$F:$F,('配当金履歴一覧'!$C:$C=G118)*('配当金履歴一覧'!$B:$B=$B118))"),1228.0)</f>
        <v>1228</v>
      </c>
      <c r="I120" s="17">
        <f>IFERROR(__xludf.DUMMYFUNCTION("FILTER('配当金履歴一覧'!$E:$E,('配当金履歴一覧'!$C:$C=I118)*('配当金履歴一覧'!$B:$B=$B118))"),11.0)</f>
        <v>11</v>
      </c>
      <c r="J120" s="18">
        <f>IFERROR(__xludf.DUMMYFUNCTION("FILTER('配当金履歴一覧'!$F:$F,('配当金履歴一覧'!$C:$C=I118)*('配当金履歴一覧'!$B:$B=$B118))"),351.0)</f>
        <v>351</v>
      </c>
      <c r="K120" s="17"/>
      <c r="L120" s="18"/>
      <c r="M120" s="17"/>
      <c r="N120" s="18"/>
      <c r="O120" s="17"/>
      <c r="P120" s="18"/>
      <c r="Q120" s="17"/>
      <c r="R120" s="18"/>
      <c r="S120" s="17"/>
      <c r="T120" s="18"/>
      <c r="U120" s="17"/>
      <c r="V120" s="18"/>
      <c r="W120" s="17"/>
      <c r="X120" s="18"/>
      <c r="Y120" s="17"/>
      <c r="Z120" s="18"/>
    </row>
    <row r="121">
      <c r="A121" s="9"/>
      <c r="B121" s="9"/>
      <c r="C121" s="19">
        <f>IFERROR(__xludf.DUMMYFUNCTION("FILTER('配当金履歴一覧'!$G:$G,('配当金履歴一覧'!$C:$C=C118)*('配当金履歴一覧'!$B:$B=$B118))"),2.0)</f>
        <v>2</v>
      </c>
      <c r="D121" s="20">
        <f>IFERROR(__xludf.DUMMYFUNCTION("FILTER('配当金履歴一覧'!$H:$H,('配当金履歴一覧'!$C:$C=C118)*('配当金履歴一覧'!$B:$B=$B118))"),260.0)</f>
        <v>260</v>
      </c>
      <c r="E121" s="19">
        <f>IFERROR(__xludf.DUMMYFUNCTION("FILTER('配当金履歴一覧'!$G:$G,('配当金履歴一覧'!$C:$C=E118)*('配当金履歴一覧'!$B:$B=$B118))"),7.0)</f>
        <v>7</v>
      </c>
      <c r="F121" s="20">
        <f>IFERROR(__xludf.DUMMYFUNCTION("FILTER('配当金履歴一覧'!$H:$H,('配当金履歴一覧'!$C:$C=E118)*('配当金履歴一覧'!$B:$B=$B118))"),210.0)</f>
        <v>210</v>
      </c>
      <c r="G121" s="19">
        <f>IFERROR(__xludf.DUMMYFUNCTION("FILTER('配当金履歴一覧'!$G:$G,('配当金履歴一覧'!$C:$C=G118)*('配当金履歴一覧'!$B:$B=$B118))"),9.0)</f>
        <v>9</v>
      </c>
      <c r="H121" s="20">
        <f>IFERROR(__xludf.DUMMYFUNCTION("FILTER('配当金履歴一覧'!$H:$H,('配当金履歴一覧'!$C:$C=G118)*('配当金履歴一覧'!$B:$B=$B118))"),1260.0)</f>
        <v>1260</v>
      </c>
      <c r="I121" s="19">
        <f>IFERROR(__xludf.DUMMYFUNCTION("FILTER('配当金履歴一覧'!$G:$G,('配当金履歴一覧'!$C:$C=I118)*('配当金履歴一覧'!$B:$B=$B118))"),12.0)</f>
        <v>12</v>
      </c>
      <c r="J121" s="20">
        <f>IFERROR(__xludf.DUMMYFUNCTION("FILTER('配当金履歴一覧'!$H:$H,('配当金履歴一覧'!$C:$C=I118)*('配当金履歴一覧'!$B:$B=$B118))"),480.0)</f>
        <v>480</v>
      </c>
      <c r="K121" s="19"/>
      <c r="L121" s="20"/>
      <c r="M121" s="19"/>
      <c r="N121" s="20"/>
      <c r="O121" s="19"/>
      <c r="P121" s="20"/>
      <c r="Q121" s="19"/>
      <c r="R121" s="20"/>
      <c r="S121" s="19"/>
      <c r="T121" s="20"/>
      <c r="U121" s="19"/>
      <c r="V121" s="20"/>
      <c r="W121" s="19"/>
      <c r="X121" s="20"/>
      <c r="Y121" s="19"/>
      <c r="Z121" s="20"/>
    </row>
    <row r="122">
      <c r="A122" s="11">
        <v>8591.0</v>
      </c>
      <c r="B122" s="12" t="s">
        <v>41</v>
      </c>
      <c r="C122" s="13">
        <v>45444.0</v>
      </c>
      <c r="D122" s="5"/>
      <c r="E122" s="13">
        <v>45627.0</v>
      </c>
      <c r="F122" s="5"/>
      <c r="G122" s="13">
        <v>45809.0</v>
      </c>
      <c r="H122" s="5"/>
      <c r="I122" s="13">
        <v>45992.0</v>
      </c>
      <c r="J122" s="5"/>
      <c r="K122" s="13"/>
      <c r="L122" s="5"/>
      <c r="M122" s="13"/>
      <c r="N122" s="5"/>
      <c r="O122" s="13"/>
      <c r="P122" s="5"/>
      <c r="Q122" s="13"/>
      <c r="R122" s="5"/>
      <c r="S122" s="13"/>
      <c r="T122" s="5"/>
      <c r="U122" s="13"/>
      <c r="V122" s="5"/>
      <c r="W122" s="13"/>
      <c r="X122" s="5"/>
      <c r="Y122" s="13"/>
      <c r="Z122" s="5"/>
    </row>
    <row r="123">
      <c r="A123" s="6"/>
      <c r="B123" s="6"/>
      <c r="C123" s="15">
        <f>IFERROR(__xludf.DUMMYFUNCTION("FILTER('配当金履歴一覧'!$D:$D,('配当金履歴一覧'!$C:$C=C122)*('配当金履歴一覧'!$B:$B=$B122))"),55.8)</f>
        <v>55.8</v>
      </c>
      <c r="D123" s="5"/>
      <c r="E123" s="15">
        <f>IFERROR(__xludf.DUMMYFUNCTION("FILTER('配当金履歴一覧'!$D:$D,('配当金履歴一覧'!$C:$C=E122)*('配当金履歴一覧'!$B:$B=$B122))"),63.0)</f>
        <v>63</v>
      </c>
      <c r="F123" s="5"/>
      <c r="G123" s="15">
        <f>IFERROR(__xludf.DUMMYFUNCTION("FILTER('配当金履歴一覧'!$D:$D,('配当金履歴一覧'!$C:$C=G122)*('配当金履歴一覧'!$B:$B=$B122))"),57.84)</f>
        <v>57.84</v>
      </c>
      <c r="H123" s="5"/>
      <c r="I123" s="15">
        <f>IFERROR(__xludf.DUMMYFUNCTION("FILTER('配当金履歴一覧'!$D:$D,('配当金履歴一覧'!$C:$C=I122)*('配当金履歴一覧'!$B:$B=$B122))"),93.76)</f>
        <v>93.76</v>
      </c>
      <c r="J123" s="5"/>
      <c r="K123" s="21"/>
      <c r="L123" s="5"/>
      <c r="M123" s="21"/>
      <c r="N123" s="5"/>
      <c r="O123" s="21"/>
      <c r="P123" s="5"/>
      <c r="Q123" s="21"/>
      <c r="R123" s="5"/>
      <c r="S123" s="21"/>
      <c r="T123" s="5"/>
      <c r="U123" s="21"/>
      <c r="V123" s="5"/>
      <c r="W123" s="21"/>
      <c r="X123" s="5"/>
      <c r="Y123" s="21"/>
      <c r="Z123" s="5"/>
    </row>
    <row r="124">
      <c r="A124" s="6"/>
      <c r="B124" s="6"/>
      <c r="C124" s="17">
        <f>IFERROR(__xludf.DUMMYFUNCTION("FILTER('配当金履歴一覧'!$E:$E,('配当金履歴一覧'!$C:$C=C122)*('配当金履歴一覧'!$B:$B=$B122))"),14.0)</f>
        <v>14</v>
      </c>
      <c r="D124" s="18">
        <f>IFERROR(__xludf.DUMMYFUNCTION("FILTER('配当金履歴一覧'!$F:$F,('配当金履歴一覧'!$C:$C=C122)*('配当金履歴一覧'!$B:$B=$B122))"),624.0)</f>
        <v>624</v>
      </c>
      <c r="E124" s="17">
        <f>IFERROR(__xludf.DUMMYFUNCTION("FILTER('配当金履歴一覧'!$E:$E,('配当金履歴一覧'!$C:$C=E122)*('配当金履歴一覧'!$B:$B=$B122))"),14.0)</f>
        <v>14</v>
      </c>
      <c r="F124" s="18">
        <f>IFERROR(__xludf.DUMMYFUNCTION("FILTER('配当金履歴一覧'!$F:$F,('配当金履歴一覧'!$C:$C=E122)*('配当金履歴一覧'!$B:$B=$B122))"),694.0)</f>
        <v>694</v>
      </c>
      <c r="G124" s="17">
        <f>IFERROR(__xludf.DUMMYFUNCTION("FILTER('配当金履歴一覧'!$E:$E,('配当金履歴一覧'!$C:$C=G122)*('配当金履歴一覧'!$B:$B=$B122))"),14.0)</f>
        <v>14</v>
      </c>
      <c r="H124" s="18">
        <f>IFERROR(__xludf.DUMMYFUNCTION("FILTER('配当金履歴一覧'!$F:$F,('配当金履歴一覧'!$C:$C=G122)*('配当金履歴一覧'!$B:$B=$B122))"),646.0)</f>
        <v>646</v>
      </c>
      <c r="I124" s="17">
        <f>IFERROR(__xludf.DUMMYFUNCTION("FILTER('配当金履歴一覧'!$E:$E,('配当金履歴一覧'!$C:$C=I122)*('配当金履歴一覧'!$B:$B=$B122))"),14.0)</f>
        <v>14</v>
      </c>
      <c r="J124" s="18">
        <f>IFERROR(__xludf.DUMMYFUNCTION("FILTER('配当金履歴一覧'!$F:$F,('配当金履歴一覧'!$C:$C=I122)*('配当金履歴一覧'!$B:$B=$B122))"),1047.0)</f>
        <v>1047</v>
      </c>
      <c r="K124" s="17"/>
      <c r="L124" s="18"/>
      <c r="M124" s="17"/>
      <c r="N124" s="18"/>
      <c r="O124" s="17"/>
      <c r="P124" s="18"/>
      <c r="Q124" s="17"/>
      <c r="R124" s="18"/>
      <c r="S124" s="17"/>
      <c r="T124" s="18"/>
      <c r="U124" s="17"/>
      <c r="V124" s="18"/>
      <c r="W124" s="17"/>
      <c r="X124" s="18"/>
      <c r="Y124" s="17"/>
      <c r="Z124" s="18"/>
    </row>
    <row r="125">
      <c r="A125" s="9"/>
      <c r="B125" s="9"/>
      <c r="C125" s="19">
        <f>IFERROR(__xludf.DUMMYFUNCTION("FILTER('配当金履歴一覧'!$G:$G,('配当金履歴一覧'!$C:$C=C122)*('配当金履歴一覧'!$B:$B=$B122))"),0.0)</f>
        <v>0</v>
      </c>
      <c r="D125" s="20">
        <f>IFERROR(__xludf.DUMMYFUNCTION("FILTER('配当金履歴一覧'!$H:$H,('配当金履歴一覧'!$C:$C=C122)*('配当金履歴一覧'!$B:$B=$B122))"),0.0)</f>
        <v>0</v>
      </c>
      <c r="E125" s="19">
        <f>IFERROR(__xludf.DUMMYFUNCTION("FILTER('配当金履歴一覧'!$G:$G,('配当金履歴一覧'!$C:$C=E122)*('配当金履歴一覧'!$B:$B=$B122))"),1.0)</f>
        <v>1</v>
      </c>
      <c r="F125" s="20">
        <f>IFERROR(__xludf.DUMMYFUNCTION("FILTER('配当金履歴一覧'!$H:$H,('配当金履歴一覧'!$C:$C=E122)*('配当金履歴一覧'!$B:$B=$B122))"),63.0)</f>
        <v>63</v>
      </c>
      <c r="G125" s="19">
        <f>IFERROR(__xludf.DUMMYFUNCTION("FILTER('配当金履歴一覧'!$G:$G,('配当金履歴一覧'!$C:$C=G122)*('配当金履歴一覧'!$B:$B=$B122))"),2.0)</f>
        <v>2</v>
      </c>
      <c r="H125" s="20">
        <f>IFERROR(__xludf.DUMMYFUNCTION("FILTER('配当金履歴一覧'!$H:$H,('配当金履歴一覧'!$C:$C=G122)*('配当金履歴一覧'!$B:$B=$B122))"),117.0)</f>
        <v>117</v>
      </c>
      <c r="I125" s="19">
        <f>IFERROR(__xludf.DUMMYFUNCTION("FILTER('配当金履歴一覧'!$G:$G,('配当金履歴一覧'!$C:$C=I122)*('配当金履歴一覧'!$B:$B=$B122))"),6.0)</f>
        <v>6</v>
      </c>
      <c r="J125" s="20">
        <f>IFERROR(__xludf.DUMMYFUNCTION("FILTER('配当金履歴一覧'!$H:$H,('配当金履歴一覧'!$C:$C=I122)*('配当金履歴一覧'!$B:$B=$B122))"),564.0)</f>
        <v>564</v>
      </c>
      <c r="K125" s="19"/>
      <c r="L125" s="20"/>
      <c r="M125" s="19"/>
      <c r="N125" s="20"/>
      <c r="O125" s="19"/>
      <c r="P125" s="20"/>
      <c r="Q125" s="19"/>
      <c r="R125" s="20"/>
      <c r="S125" s="19"/>
      <c r="T125" s="20"/>
      <c r="U125" s="19"/>
      <c r="V125" s="20"/>
      <c r="W125" s="19"/>
      <c r="X125" s="20"/>
      <c r="Y125" s="19"/>
      <c r="Z125" s="20"/>
    </row>
    <row r="126">
      <c r="A126" s="11">
        <v>8593.0</v>
      </c>
      <c r="B126" s="12" t="s">
        <v>42</v>
      </c>
      <c r="C126" s="13">
        <v>45444.0</v>
      </c>
      <c r="D126" s="5"/>
      <c r="E126" s="13">
        <v>45627.0</v>
      </c>
      <c r="F126" s="5"/>
      <c r="G126" s="13">
        <v>45809.0</v>
      </c>
      <c r="H126" s="5"/>
      <c r="I126" s="13">
        <v>45992.0</v>
      </c>
      <c r="J126" s="5"/>
      <c r="K126" s="13"/>
      <c r="L126" s="5"/>
      <c r="M126" s="13"/>
      <c r="N126" s="5"/>
      <c r="O126" s="13"/>
      <c r="P126" s="5"/>
      <c r="Q126" s="13"/>
      <c r="R126" s="5"/>
      <c r="S126" s="13"/>
      <c r="T126" s="5"/>
      <c r="U126" s="13"/>
      <c r="V126" s="5"/>
      <c r="W126" s="13"/>
      <c r="X126" s="5"/>
      <c r="Y126" s="13"/>
      <c r="Z126" s="5"/>
    </row>
    <row r="127">
      <c r="A127" s="6"/>
      <c r="B127" s="6"/>
      <c r="C127" s="15">
        <f>IFERROR(__xludf.DUMMYFUNCTION("FILTER('配当金履歴一覧'!$D:$D,('配当金履歴一覧'!$C:$C=C126)*('配当金履歴一覧'!$B:$B=$B126))"),10.0)</f>
        <v>10</v>
      </c>
      <c r="D127" s="5"/>
      <c r="E127" s="15">
        <f>IFERROR(__xludf.DUMMYFUNCTION("FILTER('配当金履歴一覧'!$D:$D,('配当金履歴一覧'!$C:$C=E126)*('配当金履歴一覧'!$B:$B=$B126))"),20.0)</f>
        <v>20</v>
      </c>
      <c r="F127" s="5"/>
      <c r="G127" s="15">
        <f>IFERROR(__xludf.DUMMYFUNCTION("FILTER('配当金履歴一覧'!$D:$D,('配当金履歴一覧'!$C:$C=G126)*('配当金履歴一覧'!$B:$B=$B126))"),20.0)</f>
        <v>20</v>
      </c>
      <c r="H127" s="5"/>
      <c r="I127" s="15">
        <f>IFERROR(__xludf.DUMMYFUNCTION("FILTER('配当金履歴一覧'!$D:$D,('配当金履歴一覧'!$C:$C=I126)*('配当金履歴一覧'!$B:$B=$B126))"),22.0)</f>
        <v>22</v>
      </c>
      <c r="J127" s="5"/>
      <c r="K127" s="21"/>
      <c r="L127" s="5"/>
      <c r="M127" s="21"/>
      <c r="N127" s="5"/>
      <c r="O127" s="21"/>
      <c r="P127" s="5"/>
      <c r="Q127" s="21"/>
      <c r="R127" s="5"/>
      <c r="S127" s="21"/>
      <c r="T127" s="5"/>
      <c r="U127" s="21"/>
      <c r="V127" s="5"/>
      <c r="W127" s="21"/>
      <c r="X127" s="5"/>
      <c r="Y127" s="21"/>
      <c r="Z127" s="5"/>
    </row>
    <row r="128">
      <c r="A128" s="6"/>
      <c r="B128" s="6"/>
      <c r="C128" s="17">
        <f>IFERROR(__xludf.DUMMYFUNCTION("FILTER('配当金履歴一覧'!$E:$E,('配当金履歴一覧'!$C:$C=C126)*('配当金履歴一覧'!$B:$B=$B126))"),19.0)</f>
        <v>19</v>
      </c>
      <c r="D128" s="18">
        <f>IFERROR(__xludf.DUMMYFUNCTION("FILTER('配当金履歴一覧'!$F:$F,('配当金履歴一覧'!$C:$C=C126)*('配当金履歴一覧'!$B:$B=$B126))"),152.0)</f>
        <v>152</v>
      </c>
      <c r="E128" s="17">
        <f>IFERROR(__xludf.DUMMYFUNCTION("FILTER('配当金履歴一覧'!$E:$E,('配当金履歴一覧'!$C:$C=E126)*('配当金履歴一覧'!$B:$B=$B126))"),10.0)</f>
        <v>10</v>
      </c>
      <c r="F128" s="18">
        <f>IFERROR(__xludf.DUMMYFUNCTION("FILTER('配当金履歴一覧'!$F:$F,('配当金履歴一覧'!$C:$C=E126)*('配当金履歴一覧'!$B:$B=$B126))"),160.0)</f>
        <v>160</v>
      </c>
      <c r="G128" s="17">
        <f>IFERROR(__xludf.DUMMYFUNCTION("FILTER('配当金履歴一覧'!$E:$E,('配当金履歴一覧'!$C:$C=G126)*('配当金履歴一覧'!$B:$B=$B126))"),10.0)</f>
        <v>10</v>
      </c>
      <c r="H128" s="18">
        <f>IFERROR(__xludf.DUMMYFUNCTION("FILTER('配当金履歴一覧'!$F:$F,('配当金履歴一覧'!$C:$C=G126)*('配当金履歴一覧'!$B:$B=$B126))"),160.0)</f>
        <v>160</v>
      </c>
      <c r="I128" s="17">
        <f>IFERROR(__xludf.DUMMYFUNCTION("FILTER('配当金履歴一覧'!$E:$E,('配当金履歴一覧'!$C:$C=I126)*('配当金履歴一覧'!$B:$B=$B126))"),10.0)</f>
        <v>10</v>
      </c>
      <c r="J128" s="18">
        <f>IFERROR(__xludf.DUMMYFUNCTION("FILTER('配当金履歴一覧'!$F:$F,('配当金履歴一覧'!$C:$C=I126)*('配当金履歴一覧'!$B:$B=$B126))"),176.0)</f>
        <v>176</v>
      </c>
      <c r="K128" s="17"/>
      <c r="L128" s="18"/>
      <c r="M128" s="17"/>
      <c r="N128" s="18"/>
      <c r="O128" s="17"/>
      <c r="P128" s="18"/>
      <c r="Q128" s="17"/>
      <c r="R128" s="18"/>
      <c r="S128" s="17"/>
      <c r="T128" s="18"/>
      <c r="U128" s="17"/>
      <c r="V128" s="18"/>
      <c r="W128" s="17"/>
      <c r="X128" s="18"/>
      <c r="Y128" s="17"/>
      <c r="Z128" s="18"/>
    </row>
    <row r="129">
      <c r="A129" s="9"/>
      <c r="B129" s="9"/>
      <c r="C129" s="19">
        <f>IFERROR(__xludf.DUMMYFUNCTION("FILTER('配当金履歴一覧'!$G:$G,('配当金履歴一覧'!$C:$C=C126)*('配当金履歴一覧'!$B:$B=$B126))"),0.0)</f>
        <v>0</v>
      </c>
      <c r="D129" s="20">
        <f>IFERROR(__xludf.DUMMYFUNCTION("FILTER('配当金履歴一覧'!$H:$H,('配当金履歴一覧'!$C:$C=C126)*('配当金履歴一覧'!$B:$B=$B126))"),0.0)</f>
        <v>0</v>
      </c>
      <c r="E129" s="19">
        <f>IFERROR(__xludf.DUMMYFUNCTION("FILTER('配当金履歴一覧'!$G:$G,('配当金履歴一覧'!$C:$C=E126)*('配当金履歴一覧'!$B:$B=$B126))"),4.0)</f>
        <v>4</v>
      </c>
      <c r="F129" s="20">
        <f>IFERROR(__xludf.DUMMYFUNCTION("FILTER('配当金履歴一覧'!$H:$H,('配当金履歴一覧'!$C:$C=E126)*('配当金履歴一覧'!$B:$B=$B126))"),80.0)</f>
        <v>80</v>
      </c>
      <c r="G129" s="19">
        <f>IFERROR(__xludf.DUMMYFUNCTION("FILTER('配当金履歴一覧'!$G:$G,('配当金履歴一覧'!$C:$C=G126)*('配当金履歴一覧'!$B:$B=$B126))"),6.0)</f>
        <v>6</v>
      </c>
      <c r="H129" s="20">
        <f>IFERROR(__xludf.DUMMYFUNCTION("FILTER('配当金履歴一覧'!$H:$H,('配当金履歴一覧'!$C:$C=G126)*('配当金履歴一覧'!$B:$B=$B126))"),120.0)</f>
        <v>120</v>
      </c>
      <c r="I129" s="19">
        <f>IFERROR(__xludf.DUMMYFUNCTION("FILTER('配当金履歴一覧'!$G:$G,('配当金履歴一覧'!$C:$C=I126)*('配当金履歴一覧'!$B:$B=$B126))"),6.0)</f>
        <v>6</v>
      </c>
      <c r="J129" s="20">
        <f>IFERROR(__xludf.DUMMYFUNCTION("FILTER('配当金履歴一覧'!$H:$H,('配当金履歴一覧'!$C:$C=I126)*('配当金履歴一覧'!$B:$B=$B126))"),132.0)</f>
        <v>132</v>
      </c>
      <c r="K129" s="19"/>
      <c r="L129" s="20"/>
      <c r="M129" s="19"/>
      <c r="N129" s="20"/>
      <c r="O129" s="19"/>
      <c r="P129" s="20"/>
      <c r="Q129" s="19"/>
      <c r="R129" s="20"/>
      <c r="S129" s="19"/>
      <c r="T129" s="20"/>
      <c r="U129" s="19"/>
      <c r="V129" s="20"/>
      <c r="W129" s="19"/>
      <c r="X129" s="20"/>
      <c r="Y129" s="19"/>
      <c r="Z129" s="20"/>
    </row>
    <row r="130">
      <c r="A130" s="11">
        <v>8630.0</v>
      </c>
      <c r="B130" s="12" t="s">
        <v>43</v>
      </c>
      <c r="C130" s="13">
        <v>45444.0</v>
      </c>
      <c r="D130" s="5"/>
      <c r="E130" s="13">
        <v>45627.0</v>
      </c>
      <c r="F130" s="5"/>
      <c r="G130" s="13">
        <v>45809.0</v>
      </c>
      <c r="H130" s="5"/>
      <c r="I130" s="13">
        <v>45992.0</v>
      </c>
      <c r="J130" s="5"/>
      <c r="K130" s="13"/>
      <c r="L130" s="5"/>
      <c r="M130" s="13"/>
      <c r="N130" s="5"/>
      <c r="O130" s="13"/>
      <c r="P130" s="5"/>
      <c r="Q130" s="13"/>
      <c r="R130" s="5"/>
      <c r="S130" s="13"/>
      <c r="T130" s="5"/>
      <c r="U130" s="13"/>
      <c r="V130" s="5"/>
      <c r="W130" s="13"/>
      <c r="X130" s="5"/>
      <c r="Y130" s="13"/>
      <c r="Z130" s="5"/>
    </row>
    <row r="131">
      <c r="A131" s="6"/>
      <c r="B131" s="6"/>
      <c r="C131" s="15">
        <f>IFERROR(__xludf.DUMMYFUNCTION("FILTER('配当金履歴一覧'!$D:$D,('配当金履歴一覧'!$C:$C=C130)*('配当金履歴一覧'!$B:$B=$B130))"),150.0)</f>
        <v>150</v>
      </c>
      <c r="D131" s="5"/>
      <c r="E131" s="15">
        <f>IFERROR(__xludf.DUMMYFUNCTION("FILTER('配当金履歴一覧'!$D:$D,('配当金履歴一覧'!$C:$C=E130)*('配当金履歴一覧'!$B:$B=$B130))"),56.0)</f>
        <v>56</v>
      </c>
      <c r="F131" s="5"/>
      <c r="G131" s="15">
        <f>IFERROR(__xludf.DUMMYFUNCTION("FILTER('配当金履歴一覧'!$D:$D,('配当金履歴一覧'!$C:$C=G130)*('配当金履歴一覧'!$B:$B=$B130))"),76.0)</f>
        <v>76</v>
      </c>
      <c r="H131" s="5"/>
      <c r="I131" s="15">
        <f>IFERROR(__xludf.DUMMYFUNCTION("FILTER('配当金履歴一覧'!$D:$D,('配当金履歴一覧'!$C:$C=I130)*('配当金履歴一覧'!$B:$B=$B130))"),75.0)</f>
        <v>75</v>
      </c>
      <c r="J131" s="5"/>
      <c r="K131" s="21"/>
      <c r="L131" s="5"/>
      <c r="M131" s="21"/>
      <c r="N131" s="5"/>
      <c r="O131" s="21"/>
      <c r="P131" s="5"/>
      <c r="Q131" s="21"/>
      <c r="R131" s="5"/>
      <c r="S131" s="21"/>
      <c r="T131" s="5"/>
      <c r="U131" s="21"/>
      <c r="V131" s="5"/>
      <c r="W131" s="21"/>
      <c r="X131" s="5"/>
      <c r="Y131" s="21"/>
      <c r="Z131" s="5"/>
    </row>
    <row r="132">
      <c r="A132" s="6"/>
      <c r="B132" s="6"/>
      <c r="C132" s="17">
        <f>IFERROR(__xludf.DUMMYFUNCTION("FILTER('配当金履歴一覧'!$E:$E,('配当金履歴一覧'!$C:$C=C130)*('配当金履歴一覧'!$B:$B=$B130))"),11.0)</f>
        <v>11</v>
      </c>
      <c r="D132" s="18">
        <f>IFERROR(__xludf.DUMMYFUNCTION("FILTER('配当金履歴一覧'!$F:$F,('配当金履歴一覧'!$C:$C=C130)*('配当金履歴一覧'!$B:$B=$B130))"),1316.0)</f>
        <v>1316</v>
      </c>
      <c r="E132" s="17">
        <f>IFERROR(__xludf.DUMMYFUNCTION("FILTER('配当金履歴一覧'!$E:$E,('配当金履歴一覧'!$C:$C=E130)*('配当金履歴一覧'!$B:$B=$B130))"),33.0)</f>
        <v>33</v>
      </c>
      <c r="F132" s="18">
        <f>IFERROR(__xludf.DUMMYFUNCTION("FILTER('配当金履歴一覧'!$F:$F,('配当金履歴一覧'!$C:$C=E130)*('配当金履歴一覧'!$B:$B=$B130))"),1473.0)</f>
        <v>1473</v>
      </c>
      <c r="G132" s="17">
        <f>IFERROR(__xludf.DUMMYFUNCTION("FILTER('配当金履歴一覧'!$E:$E,('配当金履歴一覧'!$C:$C=G130)*('配当金履歴一覧'!$B:$B=$B130))"),33.0)</f>
        <v>33</v>
      </c>
      <c r="H132" s="18">
        <f>IFERROR(__xludf.DUMMYFUNCTION("FILTER('配当金履歴一覧'!$F:$F,('配当金履歴一覧'!$C:$C=G130)*('配当金履歴一覧'!$B:$B=$B130))"),1999.0)</f>
        <v>1999</v>
      </c>
      <c r="I132" s="17">
        <f>IFERROR(__xludf.DUMMYFUNCTION("FILTER('配当金履歴一覧'!$E:$E,('配当金履歴一覧'!$C:$C=I130)*('配当金履歴一覧'!$B:$B=$B130))"),33.0)</f>
        <v>33</v>
      </c>
      <c r="J132" s="18">
        <f>IFERROR(__xludf.DUMMYFUNCTION("FILTER('配当金履歴一覧'!$F:$F,('配当金履歴一覧'!$C:$C=I130)*('配当金履歴一覧'!$B:$B=$B130))"),1973.0)</f>
        <v>1973</v>
      </c>
      <c r="K132" s="17"/>
      <c r="L132" s="18"/>
      <c r="M132" s="17"/>
      <c r="N132" s="18"/>
      <c r="O132" s="17"/>
      <c r="P132" s="18"/>
      <c r="Q132" s="17"/>
      <c r="R132" s="18"/>
      <c r="S132" s="17"/>
      <c r="T132" s="18"/>
      <c r="U132" s="17"/>
      <c r="V132" s="18"/>
      <c r="W132" s="17"/>
      <c r="X132" s="18"/>
      <c r="Y132" s="17"/>
      <c r="Z132" s="18"/>
    </row>
    <row r="133">
      <c r="A133" s="9"/>
      <c r="B133" s="9"/>
      <c r="C133" s="19">
        <f>IFERROR(__xludf.DUMMYFUNCTION("FILTER('配当金履歴一覧'!$G:$G,('配当金履歴一覧'!$C:$C=C130)*('配当金履歴一覧'!$B:$B=$B130))"),0.0)</f>
        <v>0</v>
      </c>
      <c r="D133" s="20">
        <f>IFERROR(__xludf.DUMMYFUNCTION("FILTER('配当金履歴一覧'!$H:$H,('配当金履歴一覧'!$C:$C=C130)*('配当金履歴一覧'!$B:$B=$B130))"),0.0)</f>
        <v>0</v>
      </c>
      <c r="E133" s="19">
        <f>IFERROR(__xludf.DUMMYFUNCTION("FILTER('配当金履歴一覧'!$G:$G,('配当金履歴一覧'!$C:$C=E130)*('配当金履歴一覧'!$B:$B=$B130))"),4.0)</f>
        <v>4</v>
      </c>
      <c r="F133" s="20">
        <f>IFERROR(__xludf.DUMMYFUNCTION("FILTER('配当金履歴一覧'!$H:$H,('配当金履歴一覧'!$C:$C=E130)*('配当金履歴一覧'!$B:$B=$B130))"),224.0)</f>
        <v>224</v>
      </c>
      <c r="G133" s="19">
        <f>IFERROR(__xludf.DUMMYFUNCTION("FILTER('配当金履歴一覧'!$G:$G,('配当金履歴一覧'!$C:$C=G130)*('配当金履歴一覧'!$B:$B=$B130))"),5.0)</f>
        <v>5</v>
      </c>
      <c r="H133" s="20">
        <f>IFERROR(__xludf.DUMMYFUNCTION("FILTER('配当金履歴一覧'!$H:$H,('配当金履歴一覧'!$C:$C=G130)*('配当金履歴一覧'!$B:$B=$B130))"),380.0)</f>
        <v>380</v>
      </c>
      <c r="I133" s="19">
        <f>IFERROR(__xludf.DUMMYFUNCTION("FILTER('配当金履歴一覧'!$G:$G,('配当金履歴一覧'!$C:$C=I130)*('配当金履歴一覧'!$B:$B=$B130))"),6.0)</f>
        <v>6</v>
      </c>
      <c r="J133" s="20">
        <f>IFERROR(__xludf.DUMMYFUNCTION("FILTER('配当金履歴一覧'!$H:$H,('配当金履歴一覧'!$C:$C=I130)*('配当金履歴一覧'!$B:$B=$B130))"),450.0)</f>
        <v>450</v>
      </c>
      <c r="K133" s="19"/>
      <c r="L133" s="20"/>
      <c r="M133" s="19"/>
      <c r="N133" s="20"/>
      <c r="O133" s="19"/>
      <c r="P133" s="20"/>
      <c r="Q133" s="19"/>
      <c r="R133" s="20"/>
      <c r="S133" s="19"/>
      <c r="T133" s="20"/>
      <c r="U133" s="19"/>
      <c r="V133" s="20"/>
      <c r="W133" s="19"/>
      <c r="X133" s="20"/>
      <c r="Y133" s="19"/>
      <c r="Z133" s="20"/>
    </row>
    <row r="134">
      <c r="A134" s="11">
        <v>8766.0</v>
      </c>
      <c r="B134" s="12" t="s">
        <v>44</v>
      </c>
      <c r="C134" s="13">
        <v>45444.0</v>
      </c>
      <c r="D134" s="5"/>
      <c r="E134" s="13">
        <v>45627.0</v>
      </c>
      <c r="F134" s="5"/>
      <c r="G134" s="13">
        <v>45809.0</v>
      </c>
      <c r="H134" s="5"/>
      <c r="I134" s="13">
        <v>45992.0</v>
      </c>
      <c r="J134" s="5"/>
      <c r="K134" s="13"/>
      <c r="L134" s="5"/>
      <c r="M134" s="13"/>
      <c r="N134" s="5"/>
      <c r="O134" s="13"/>
      <c r="P134" s="5"/>
      <c r="Q134" s="13"/>
      <c r="R134" s="5"/>
      <c r="S134" s="13"/>
      <c r="T134" s="5"/>
      <c r="U134" s="13"/>
      <c r="V134" s="5"/>
      <c r="W134" s="13"/>
      <c r="X134" s="5"/>
      <c r="Y134" s="13"/>
      <c r="Z134" s="5"/>
    </row>
    <row r="135">
      <c r="A135" s="6"/>
      <c r="B135" s="6"/>
      <c r="C135" s="15">
        <f>IFERROR(__xludf.DUMMYFUNCTION("FILTER('配当金履歴一覧'!$D:$D,('配当金履歴一覧'!$C:$C=C134)*('配当金履歴一覧'!$B:$B=$B134))"),62.5)</f>
        <v>62.5</v>
      </c>
      <c r="D135" s="5"/>
      <c r="E135" s="15">
        <f>IFERROR(__xludf.DUMMYFUNCTION("FILTER('配当金履歴一覧'!$D:$D,('配当金履歴一覧'!$C:$C=E134)*('配当金履歴一覧'!$B:$B=$B134))"),81.0)</f>
        <v>81</v>
      </c>
      <c r="F135" s="5"/>
      <c r="G135" s="15">
        <f>IFERROR(__xludf.DUMMYFUNCTION("FILTER('配当金履歴一覧'!$D:$D,('配当金履歴一覧'!$C:$C=G134)*('配当金履歴一覧'!$B:$B=$B134))"),91.0)</f>
        <v>91</v>
      </c>
      <c r="H135" s="5"/>
      <c r="I135" s="15">
        <f>IFERROR(__xludf.DUMMYFUNCTION("FILTER('配当金履歴一覧'!$D:$D,('配当金履歴一覧'!$C:$C=I134)*('配当金履歴一覧'!$B:$B=$B134))"),105.5)</f>
        <v>105.5</v>
      </c>
      <c r="J135" s="5"/>
      <c r="K135" s="21"/>
      <c r="L135" s="5"/>
      <c r="M135" s="21"/>
      <c r="N135" s="5"/>
      <c r="O135" s="21"/>
      <c r="P135" s="5"/>
      <c r="Q135" s="21"/>
      <c r="R135" s="5"/>
      <c r="S135" s="21"/>
      <c r="T135" s="5"/>
      <c r="U135" s="21"/>
      <c r="V135" s="5"/>
      <c r="W135" s="21"/>
      <c r="X135" s="5"/>
      <c r="Y135" s="21"/>
      <c r="Z135" s="5"/>
    </row>
    <row r="136">
      <c r="A136" s="6"/>
      <c r="B136" s="6"/>
      <c r="C136" s="17">
        <f>IFERROR(__xludf.DUMMYFUNCTION("FILTER('配当金履歴一覧'!$E:$E,('配当金履歴一覧'!$C:$C=C134)*('配当金履歴一覧'!$B:$B=$B134))"),26.0)</f>
        <v>26</v>
      </c>
      <c r="D136" s="18">
        <f>IFERROR(__xludf.DUMMYFUNCTION("FILTER('配当金履歴一覧'!$F:$F,('配当金履歴一覧'!$C:$C=C134)*('配当金履歴一覧'!$B:$B=$B134))"),1296.0)</f>
        <v>1296</v>
      </c>
      <c r="E136" s="17">
        <f>IFERROR(__xludf.DUMMYFUNCTION("FILTER('配当金履歴一覧'!$E:$E,('配当金履歴一覧'!$C:$C=E134)*('配当金履歴一覧'!$B:$B=$B134))"),26.0)</f>
        <v>26</v>
      </c>
      <c r="F136" s="18">
        <f>IFERROR(__xludf.DUMMYFUNCTION("FILTER('配当金履歴一覧'!$F:$F,('配当金履歴一覧'!$C:$C=E134)*('配当金履歴一覧'!$B:$B=$B134))"),1679.0)</f>
        <v>1679</v>
      </c>
      <c r="G136" s="17">
        <f>IFERROR(__xludf.DUMMYFUNCTION("FILTER('配当金履歴一覧'!$E:$E,('配当金履歴一覧'!$C:$C=G134)*('配当金履歴一覧'!$B:$B=$B134))"),26.0)</f>
        <v>26</v>
      </c>
      <c r="H136" s="18">
        <f>IFERROR(__xludf.DUMMYFUNCTION("FILTER('配当金履歴一覧'!$F:$F,('配当金履歴一覧'!$C:$C=G134)*('配当金履歴一覧'!$B:$B=$B134))"),1886.0)</f>
        <v>1886</v>
      </c>
      <c r="I136" s="17">
        <f>IFERROR(__xludf.DUMMYFUNCTION("FILTER('配当金履歴一覧'!$E:$E,('配当金履歴一覧'!$C:$C=I134)*('配当金履歴一覧'!$B:$B=$B134))"),26.0)</f>
        <v>26</v>
      </c>
      <c r="J136" s="18">
        <f>IFERROR(__xludf.DUMMYFUNCTION("FILTER('配当金履歴一覧'!$F:$F,('配当金履歴一覧'!$C:$C=I134)*('配当金履歴一覧'!$B:$B=$B134))"),2186.0)</f>
        <v>2186</v>
      </c>
      <c r="K136" s="17"/>
      <c r="L136" s="18"/>
      <c r="M136" s="17"/>
      <c r="N136" s="18"/>
      <c r="O136" s="17"/>
      <c r="P136" s="18"/>
      <c r="Q136" s="17"/>
      <c r="R136" s="18"/>
      <c r="S136" s="17"/>
      <c r="T136" s="18"/>
      <c r="U136" s="17"/>
      <c r="V136" s="18"/>
      <c r="W136" s="17"/>
      <c r="X136" s="18"/>
      <c r="Y136" s="17"/>
      <c r="Z136" s="18"/>
    </row>
    <row r="137">
      <c r="A137" s="9"/>
      <c r="B137" s="9"/>
      <c r="C137" s="19">
        <f>IFERROR(__xludf.DUMMYFUNCTION("FILTER('配当金履歴一覧'!$G:$G,('配当金履歴一覧'!$C:$C=C134)*('配当金履歴一覧'!$B:$B=$B134))"),2.0)</f>
        <v>2</v>
      </c>
      <c r="D137" s="20">
        <f>IFERROR(__xludf.DUMMYFUNCTION("FILTER('配当金履歴一覧'!$H:$H,('配当金履歴一覧'!$C:$C=C134)*('配当金履歴一覧'!$B:$B=$B134))"),125.0)</f>
        <v>125</v>
      </c>
      <c r="E137" s="19">
        <f>IFERROR(__xludf.DUMMYFUNCTION("FILTER('配当金履歴一覧'!$G:$G,('配当金履歴一覧'!$C:$C=E134)*('配当金履歴一覧'!$B:$B=$B134))"),3.0)</f>
        <v>3</v>
      </c>
      <c r="F137" s="20">
        <f>IFERROR(__xludf.DUMMYFUNCTION("FILTER('配当金履歴一覧'!$H:$H,('配当金履歴一覧'!$C:$C=E134)*('配当金履歴一覧'!$B:$B=$B134))"),243.0)</f>
        <v>243</v>
      </c>
      <c r="G137" s="19">
        <f>IFERROR(__xludf.DUMMYFUNCTION("FILTER('配当金履歴一覧'!$G:$G,('配当金履歴一覧'!$C:$C=G134)*('配当金履歴一覧'!$B:$B=$B134))"),5.0)</f>
        <v>5</v>
      </c>
      <c r="H137" s="20">
        <f>IFERROR(__xludf.DUMMYFUNCTION("FILTER('配当金履歴一覧'!$H:$H,('配当金履歴一覧'!$C:$C=G134)*('配当金履歴一覧'!$B:$B=$B134))"),455.0)</f>
        <v>455</v>
      </c>
      <c r="I137" s="19">
        <f>IFERROR(__xludf.DUMMYFUNCTION("FILTER('配当金履歴一覧'!$G:$G,('配当金履歴一覧'!$C:$C=I134)*('配当金履歴一覧'!$B:$B=$B134))"),5.0)</f>
        <v>5</v>
      </c>
      <c r="J137" s="20">
        <f>IFERROR(__xludf.DUMMYFUNCTION("FILTER('配当金履歴一覧'!$H:$H,('配当金履歴一覧'!$C:$C=I134)*('配当金履歴一覧'!$B:$B=$B134))"),528.0)</f>
        <v>528</v>
      </c>
      <c r="K137" s="19"/>
      <c r="L137" s="20"/>
      <c r="M137" s="19"/>
      <c r="N137" s="20"/>
      <c r="O137" s="19"/>
      <c r="P137" s="20"/>
      <c r="Q137" s="19"/>
      <c r="R137" s="20"/>
      <c r="S137" s="19"/>
      <c r="T137" s="20"/>
      <c r="U137" s="19"/>
      <c r="V137" s="20"/>
      <c r="W137" s="19"/>
      <c r="X137" s="20"/>
      <c r="Y137" s="19"/>
      <c r="Z137" s="20"/>
    </row>
    <row r="138">
      <c r="A138" s="11">
        <v>9101.0</v>
      </c>
      <c r="B138" s="12" t="s">
        <v>45</v>
      </c>
      <c r="C138" s="13">
        <v>45809.0</v>
      </c>
      <c r="D138" s="5"/>
      <c r="E138" s="13">
        <v>45992.0</v>
      </c>
      <c r="F138" s="5"/>
      <c r="G138" s="13"/>
      <c r="H138" s="5"/>
      <c r="I138" s="13"/>
      <c r="J138" s="5"/>
      <c r="K138" s="13"/>
      <c r="L138" s="5"/>
      <c r="M138" s="13"/>
      <c r="N138" s="5"/>
      <c r="O138" s="13"/>
      <c r="P138" s="5"/>
      <c r="Q138" s="13"/>
      <c r="R138" s="5"/>
      <c r="S138" s="13"/>
      <c r="T138" s="5"/>
      <c r="U138" s="13"/>
      <c r="V138" s="5"/>
      <c r="W138" s="13"/>
      <c r="X138" s="5"/>
      <c r="Y138" s="13"/>
      <c r="Z138" s="5"/>
    </row>
    <row r="139">
      <c r="A139" s="6"/>
      <c r="B139" s="6"/>
      <c r="C139" s="15">
        <f>IFERROR(__xludf.DUMMYFUNCTION("FILTER('配当金履歴一覧'!$D:$D,('配当金履歴一覧'!$C:$C=C138)*('配当金履歴一覧'!$B:$B=$B138))"),195.0)</f>
        <v>195</v>
      </c>
      <c r="D139" s="5"/>
      <c r="E139" s="14">
        <f>IFERROR(__xludf.DUMMYFUNCTION("FILTER('配当金履歴一覧'!$D:$D,('配当金履歴一覧'!$C:$C=E138)*('配当金履歴一覧'!$B:$B=$B138))"),115.0)</f>
        <v>115</v>
      </c>
      <c r="F139" s="5"/>
      <c r="G139" s="21"/>
      <c r="H139" s="5"/>
      <c r="I139" s="21"/>
      <c r="J139" s="5"/>
      <c r="K139" s="21"/>
      <c r="L139" s="5"/>
      <c r="M139" s="21"/>
      <c r="N139" s="5"/>
      <c r="O139" s="21"/>
      <c r="P139" s="5"/>
      <c r="Q139" s="21"/>
      <c r="R139" s="5"/>
      <c r="S139" s="21"/>
      <c r="T139" s="5"/>
      <c r="U139" s="21"/>
      <c r="V139" s="5"/>
      <c r="W139" s="21"/>
      <c r="X139" s="5"/>
      <c r="Y139" s="21"/>
      <c r="Z139" s="5"/>
    </row>
    <row r="140">
      <c r="A140" s="9"/>
      <c r="B140" s="9"/>
      <c r="C140" s="19">
        <f>IFERROR(__xludf.DUMMYFUNCTION("FILTER('配当金履歴一覧'!$G:$G,('配当金履歴一覧'!$C:$C=C138)*('配当金履歴一覧'!$B:$B=$B138))"),1.0)</f>
        <v>1</v>
      </c>
      <c r="D140" s="20">
        <f>IFERROR(__xludf.DUMMYFUNCTION("FILTER('配当金履歴一覧'!$H:$H,('配当金履歴一覧'!$C:$C=C138)*('配当金履歴一覧'!$B:$B=$B138))"),195.0)</f>
        <v>195</v>
      </c>
      <c r="E140" s="19">
        <f>IFERROR(__xludf.DUMMYFUNCTION("FILTER('配当金履歴一覧'!$G:$G,('配当金履歴一覧'!$C:$C=E138)*('配当金履歴一覧'!$B:$B=$B138))"),7.0)</f>
        <v>7</v>
      </c>
      <c r="F140" s="20">
        <f>IFERROR(__xludf.DUMMYFUNCTION("FILTER('配当金履歴一覧'!$H:$H,('配当金履歴一覧'!$C:$C=E138)*('配当金履歴一覧'!$B:$B=$B138))"),805.0)</f>
        <v>805</v>
      </c>
      <c r="G140" s="19"/>
      <c r="H140" s="20"/>
      <c r="I140" s="19"/>
      <c r="J140" s="20"/>
      <c r="K140" s="19"/>
      <c r="L140" s="20"/>
      <c r="M140" s="19"/>
      <c r="N140" s="20"/>
      <c r="O140" s="19"/>
      <c r="P140" s="20"/>
      <c r="Q140" s="19"/>
      <c r="R140" s="20"/>
      <c r="S140" s="19"/>
      <c r="T140" s="20"/>
      <c r="U140" s="19"/>
      <c r="V140" s="20"/>
      <c r="W140" s="19"/>
      <c r="X140" s="20"/>
      <c r="Y140" s="19"/>
      <c r="Z140" s="20"/>
    </row>
    <row r="141">
      <c r="A141" s="11">
        <v>9432.0</v>
      </c>
      <c r="B141" s="12" t="s">
        <v>46</v>
      </c>
      <c r="C141" s="13">
        <v>45444.0</v>
      </c>
      <c r="D141" s="5"/>
      <c r="E141" s="13">
        <v>45597.0</v>
      </c>
      <c r="F141" s="5"/>
      <c r="G141" s="13">
        <v>45809.0</v>
      </c>
      <c r="H141" s="5"/>
      <c r="I141" s="13">
        <v>45962.0</v>
      </c>
      <c r="J141" s="5"/>
      <c r="K141" s="13"/>
      <c r="L141" s="5"/>
      <c r="M141" s="13"/>
      <c r="N141" s="5"/>
      <c r="O141" s="13"/>
      <c r="P141" s="5"/>
      <c r="Q141" s="13"/>
      <c r="R141" s="5"/>
      <c r="S141" s="13"/>
      <c r="T141" s="5"/>
      <c r="U141" s="13"/>
      <c r="V141" s="5"/>
      <c r="W141" s="13"/>
      <c r="X141" s="5"/>
      <c r="Y141" s="13"/>
      <c r="Z141" s="5"/>
    </row>
    <row r="142">
      <c r="A142" s="6"/>
      <c r="B142" s="6"/>
      <c r="C142" s="15">
        <f>IFERROR(__xludf.DUMMYFUNCTION("FILTER('配当金履歴一覧'!$D:$D,('配当金履歴一覧'!$C:$C=C141)*('配当金履歴一覧'!$B:$B=$B141))"),2.6)</f>
        <v>2.6</v>
      </c>
      <c r="D142" s="5"/>
      <c r="E142" s="15">
        <f>IFERROR(__xludf.DUMMYFUNCTION("FILTER('配当金履歴一覧'!$D:$D,('配当金履歴一覧'!$C:$C=E141)*('配当金履歴一覧'!$B:$B=$B141))"),2.6)</f>
        <v>2.6</v>
      </c>
      <c r="F142" s="5"/>
      <c r="G142" s="22">
        <f>IFERROR(__xludf.DUMMYFUNCTION("FILTER('配当金履歴一覧'!$D:$D,('配当金履歴一覧'!$C:$C=G141)*('配当金履歴一覧'!$B:$B=$B141))"),2.6)</f>
        <v>2.6</v>
      </c>
      <c r="H142" s="5"/>
      <c r="I142" s="15">
        <f>IFERROR(__xludf.DUMMYFUNCTION("FILTER('配当金履歴一覧'!$D:$D,('配当金履歴一覧'!$C:$C=I141)*('配当金履歴一覧'!$B:$B=$B141))"),2.65)</f>
        <v>2.65</v>
      </c>
      <c r="J142" s="5"/>
      <c r="K142" s="21"/>
      <c r="L142" s="5"/>
      <c r="M142" s="21"/>
      <c r="N142" s="5"/>
      <c r="O142" s="21"/>
      <c r="P142" s="5"/>
      <c r="Q142" s="21"/>
      <c r="R142" s="5"/>
      <c r="S142" s="21"/>
      <c r="T142" s="5"/>
      <c r="U142" s="21"/>
      <c r="V142" s="5"/>
      <c r="W142" s="21"/>
      <c r="X142" s="5"/>
      <c r="Y142" s="21"/>
      <c r="Z142" s="5"/>
    </row>
    <row r="143">
      <c r="A143" s="6"/>
      <c r="B143" s="6"/>
      <c r="C143" s="17">
        <f>IFERROR(__xludf.DUMMYFUNCTION("FILTER('配当金履歴一覧'!$E:$E,('配当金履歴一覧'!$C:$C=C141)*('配当金履歴一覧'!$B:$B=$B141))"),125.0)</f>
        <v>125</v>
      </c>
      <c r="D143" s="18">
        <f>IFERROR(__xludf.DUMMYFUNCTION("FILTER('配当金履歴一覧'!$F:$F,('配当金履歴一覧'!$C:$C=C141)*('配当金履歴一覧'!$B:$B=$B141))"),260.0)</f>
        <v>260</v>
      </c>
      <c r="E143" s="17">
        <f>IFERROR(__xludf.DUMMYFUNCTION("FILTER('配当金履歴一覧'!$E:$E,('配当金履歴一覧'!$C:$C=E141)*('配当金履歴一覧'!$B:$B=$B141))"),125.0)</f>
        <v>125</v>
      </c>
      <c r="F143" s="18">
        <f>IFERROR(__xludf.DUMMYFUNCTION("FILTER('配当金履歴一覧'!$F:$F,('配当金履歴一覧'!$C:$C=E141)*('配当金履歴一覧'!$B:$B=$B141))"),260.0)</f>
        <v>260</v>
      </c>
      <c r="G143" s="17">
        <f>IFERROR(__xludf.DUMMYFUNCTION("FILTER('配当金履歴一覧'!$E:$E,('配当金履歴一覧'!$C:$C=G141)*('配当金履歴一覧'!$B:$B=$B141))"),0.0)</f>
        <v>0</v>
      </c>
      <c r="H143" s="18">
        <f>IFERROR(__xludf.DUMMYFUNCTION("FILTER('配当金履歴一覧'!$F:$F,('配当金履歴一覧'!$C:$C=G141)*('配当金履歴一覧'!$B:$B=$B141))"),0.0)</f>
        <v>0</v>
      </c>
      <c r="I143" s="17">
        <f>IFERROR(__xludf.DUMMYFUNCTION("FILTER('配当金履歴一覧'!$E:$E,('配当金履歴一覧'!$C:$C=I141)*('配当金履歴一覧'!$B:$B=$B141))"),0.0)</f>
        <v>0</v>
      </c>
      <c r="J143" s="18">
        <f>IFERROR(__xludf.DUMMYFUNCTION("FILTER('配当金履歴一覧'!$F:$F,('配当金履歴一覧'!$C:$C=I141)*('配当金履歴一覧'!$B:$B=$B141))"),0.0)</f>
        <v>0</v>
      </c>
      <c r="K143" s="17"/>
      <c r="L143" s="18"/>
      <c r="M143" s="17"/>
      <c r="N143" s="18"/>
      <c r="O143" s="17"/>
      <c r="P143" s="18"/>
      <c r="Q143" s="17"/>
      <c r="R143" s="18"/>
      <c r="S143" s="17"/>
      <c r="T143" s="18"/>
      <c r="U143" s="17"/>
      <c r="V143" s="18"/>
      <c r="W143" s="17"/>
      <c r="X143" s="18"/>
      <c r="Y143" s="17"/>
      <c r="Z143" s="18"/>
    </row>
    <row r="144">
      <c r="A144" s="9"/>
      <c r="B144" s="9"/>
      <c r="C144" s="19">
        <f>IFERROR(__xludf.DUMMYFUNCTION("FILTER('配当金履歴一覧'!$G:$G,('配当金履歴一覧'!$C:$C=C141)*('配当金履歴一覧'!$B:$B=$B141))"),0.0)</f>
        <v>0</v>
      </c>
      <c r="D144" s="20">
        <f>IFERROR(__xludf.DUMMYFUNCTION("FILTER('配当金履歴一覧'!$H:$H,('配当金履歴一覧'!$C:$C=C141)*('配当金履歴一覧'!$B:$B=$B141))"),0.0)</f>
        <v>0</v>
      </c>
      <c r="E144" s="19">
        <f>IFERROR(__xludf.DUMMYFUNCTION("FILTER('配当金履歴一覧'!$G:$G,('配当金履歴一覧'!$C:$C=E141)*('配当金履歴一覧'!$B:$B=$B141))"),0.0)</f>
        <v>0</v>
      </c>
      <c r="F144" s="20">
        <f>IFERROR(__xludf.DUMMYFUNCTION("FILTER('配当金履歴一覧'!$H:$H,('配当金履歴一覧'!$C:$C=E141)*('配当金履歴一覧'!$B:$B=$B141))"),0.0)</f>
        <v>0</v>
      </c>
      <c r="G144" s="19">
        <f>IFERROR(__xludf.DUMMYFUNCTION("FILTER('配当金履歴一覧'!$G:$G,('配当金履歴一覧'!$C:$C=G141)*('配当金履歴一覧'!$B:$B=$B141))"),125.0)</f>
        <v>125</v>
      </c>
      <c r="H144" s="20">
        <f>IFERROR(__xludf.DUMMYFUNCTION("FILTER('配当金履歴一覧'!$H:$H,('配当金履歴一覧'!$C:$C=G141)*('配当金履歴一覧'!$B:$B=$B141))"),325.0)</f>
        <v>325</v>
      </c>
      <c r="I144" s="19">
        <f>IFERROR(__xludf.DUMMYFUNCTION("FILTER('配当金履歴一覧'!$G:$G,('配当金履歴一覧'!$C:$C=I141)*('配当金履歴一覧'!$B:$B=$B141))"),125.0)</f>
        <v>125</v>
      </c>
      <c r="J144" s="20">
        <f>IFERROR(__xludf.DUMMYFUNCTION("FILTER('配当金履歴一覧'!$H:$H,('配当金履歴一覧'!$C:$C=I141)*('配当金履歴一覧'!$B:$B=$B141))"),332.0)</f>
        <v>332</v>
      </c>
      <c r="K144" s="19"/>
      <c r="L144" s="20"/>
      <c r="M144" s="19"/>
      <c r="N144" s="20"/>
      <c r="O144" s="19"/>
      <c r="P144" s="20"/>
      <c r="Q144" s="19"/>
      <c r="R144" s="20"/>
      <c r="S144" s="19"/>
      <c r="T144" s="20"/>
      <c r="U144" s="19"/>
      <c r="V144" s="20"/>
      <c r="W144" s="19"/>
      <c r="X144" s="20"/>
      <c r="Y144" s="19"/>
      <c r="Z144" s="20"/>
    </row>
    <row r="145">
      <c r="A145" s="11">
        <v>9433.0</v>
      </c>
      <c r="B145" s="12" t="s">
        <v>47</v>
      </c>
      <c r="C145" s="13">
        <v>45444.0</v>
      </c>
      <c r="D145" s="5"/>
      <c r="E145" s="13">
        <v>45627.0</v>
      </c>
      <c r="F145" s="5"/>
      <c r="G145" s="13">
        <v>45809.0</v>
      </c>
      <c r="H145" s="5"/>
      <c r="I145" s="13">
        <v>45992.0</v>
      </c>
      <c r="J145" s="5"/>
      <c r="K145" s="13"/>
      <c r="L145" s="5"/>
      <c r="M145" s="13"/>
      <c r="N145" s="5"/>
      <c r="O145" s="13"/>
      <c r="P145" s="5"/>
      <c r="Q145" s="13"/>
      <c r="R145" s="5"/>
      <c r="S145" s="13"/>
      <c r="T145" s="5"/>
      <c r="U145" s="13"/>
      <c r="V145" s="5"/>
      <c r="W145" s="13"/>
      <c r="X145" s="5"/>
      <c r="Y145" s="13"/>
      <c r="Z145" s="5"/>
    </row>
    <row r="146">
      <c r="A146" s="6"/>
      <c r="B146" s="6"/>
      <c r="C146" s="22">
        <f>IFERROR(__xludf.DUMMYFUNCTION("FILTER('配当金履歴一覧'!$D:$D,('配当金履歴一覧'!$C:$C=C145)*('配当金履歴一覧'!$B:$B=$B145))"),70.0)</f>
        <v>70</v>
      </c>
      <c r="D146" s="5"/>
      <c r="E146" s="22">
        <f>IFERROR(__xludf.DUMMYFUNCTION("FILTER('配当金履歴一覧'!$D:$D,('配当金履歴一覧'!$C:$C=E145)*('配当金履歴一覧'!$B:$B=$B145))"),70.0)</f>
        <v>70</v>
      </c>
      <c r="F146" s="5"/>
      <c r="G146" s="15">
        <f>IFERROR(__xludf.DUMMYFUNCTION("FILTER('配当金履歴一覧'!$D:$D,('配当金履歴一覧'!$C:$C=G145)*('配当金履歴一覧'!$B:$B=$B145))"),75.0)</f>
        <v>75</v>
      </c>
      <c r="H146" s="5"/>
      <c r="I146" s="15">
        <f>IFERROR(__xludf.DUMMYFUNCTION("FILTER('配当金履歴一覧'!$D:$D,('配当金履歴一覧'!$C:$C=I145)*('配当金履歴一覧'!$B:$B=$B145))"),40.0)</f>
        <v>40</v>
      </c>
      <c r="J146" s="5"/>
      <c r="K146" s="21"/>
      <c r="L146" s="5"/>
      <c r="M146" s="21"/>
      <c r="N146" s="5"/>
      <c r="O146" s="21"/>
      <c r="P146" s="5"/>
      <c r="Q146" s="21"/>
      <c r="R146" s="5"/>
      <c r="S146" s="21"/>
      <c r="T146" s="5"/>
      <c r="U146" s="21"/>
      <c r="V146" s="5"/>
      <c r="W146" s="21"/>
      <c r="X146" s="5"/>
      <c r="Y146" s="21"/>
      <c r="Z146" s="5"/>
    </row>
    <row r="147">
      <c r="A147" s="6"/>
      <c r="B147" s="6"/>
      <c r="C147" s="17">
        <f>IFERROR(__xludf.DUMMYFUNCTION("FILTER('配当金履歴一覧'!$E:$E,('配当金履歴一覧'!$C:$C=C145)*('配当金履歴一覧'!$B:$B=$B145))"),8.0)</f>
        <v>8</v>
      </c>
      <c r="D147" s="18">
        <f>IFERROR(__xludf.DUMMYFUNCTION("FILTER('配当金履歴一覧'!$F:$F,('配当金履歴一覧'!$C:$C=C145)*('配当金履歴一覧'!$B:$B=$B145))"),447.0)</f>
        <v>447</v>
      </c>
      <c r="E147" s="17">
        <f>IFERROR(__xludf.DUMMYFUNCTION("FILTER('配当金履歴一覧'!$E:$E,('配当金履歴一覧'!$C:$C=E145)*('配当金履歴一覧'!$B:$B=$B145))"),8.0)</f>
        <v>8</v>
      </c>
      <c r="F147" s="18">
        <f>IFERROR(__xludf.DUMMYFUNCTION("FILTER('配当金履歴一覧'!$F:$F,('配当金履歴一覧'!$C:$C=E145)*('配当金履歴一覧'!$B:$B=$B145))"),447.0)</f>
        <v>447</v>
      </c>
      <c r="G147" s="17">
        <f>IFERROR(__xludf.DUMMYFUNCTION("FILTER('配当金履歴一覧'!$E:$E,('配当金履歴一覧'!$C:$C=G145)*('配当金履歴一覧'!$B:$B=$B145))"),8.0)</f>
        <v>8</v>
      </c>
      <c r="H147" s="18">
        <f>IFERROR(__xludf.DUMMYFUNCTION("FILTER('配当金履歴一覧'!$F:$F,('配当金履歴一覧'!$C:$C=G145)*('配当金履歴一覧'!$B:$B=$B145))"),479.0)</f>
        <v>479</v>
      </c>
      <c r="I147" s="17">
        <f>IFERROR(__xludf.DUMMYFUNCTION("FILTER('配当金履歴一覧'!$E:$E,('配当金履歴一覧'!$C:$C=I145)*('配当金履歴一覧'!$B:$B=$B145))"),16.0)</f>
        <v>16</v>
      </c>
      <c r="J147" s="18">
        <f>IFERROR(__xludf.DUMMYFUNCTION("FILTER('配当金履歴一覧'!$F:$F,('配当金履歴一覧'!$C:$C=I145)*('配当金履歴一覧'!$B:$B=$B145))"),510.0)</f>
        <v>510</v>
      </c>
      <c r="K147" s="17"/>
      <c r="L147" s="18"/>
      <c r="M147" s="17"/>
      <c r="N147" s="18"/>
      <c r="O147" s="17"/>
      <c r="P147" s="18"/>
      <c r="Q147" s="17"/>
      <c r="R147" s="18"/>
      <c r="S147" s="17"/>
      <c r="T147" s="18"/>
      <c r="U147" s="17"/>
      <c r="V147" s="18"/>
      <c r="W147" s="17"/>
      <c r="X147" s="18"/>
      <c r="Y147" s="17"/>
      <c r="Z147" s="18"/>
    </row>
    <row r="148">
      <c r="A148" s="9"/>
      <c r="B148" s="9"/>
      <c r="C148" s="19">
        <f>IFERROR(__xludf.DUMMYFUNCTION("FILTER('配当金履歴一覧'!$G:$G,('配当金履歴一覧'!$C:$C=C145)*('配当金履歴一覧'!$B:$B=$B145))"),2.0)</f>
        <v>2</v>
      </c>
      <c r="D148" s="20">
        <f>IFERROR(__xludf.DUMMYFUNCTION("FILTER('配当金履歴一覧'!$H:$H,('配当金履歴一覧'!$C:$C=C145)*('配当金履歴一覧'!$B:$B=$B145))"),140.0)</f>
        <v>140</v>
      </c>
      <c r="E148" s="19">
        <f>IFERROR(__xludf.DUMMYFUNCTION("FILTER('配当金履歴一覧'!$G:$G,('配当金履歴一覧'!$C:$C=E145)*('配当金履歴一覧'!$B:$B=$B145))"),5.0)</f>
        <v>5</v>
      </c>
      <c r="F148" s="20">
        <f>IFERROR(__xludf.DUMMYFUNCTION("FILTER('配当金履歴一覧'!$H:$H,('配当金履歴一覧'!$C:$C=E145)*('配当金履歴一覧'!$B:$B=$B145))"),350.0)</f>
        <v>350</v>
      </c>
      <c r="G148" s="19">
        <f>IFERROR(__xludf.DUMMYFUNCTION("FILTER('配当金履歴一覧'!$G:$G,('配当金履歴一覧'!$C:$C=G145)*('配当金履歴一覧'!$B:$B=$B145))"),6.0)</f>
        <v>6</v>
      </c>
      <c r="H148" s="20">
        <f>IFERROR(__xludf.DUMMYFUNCTION("FILTER('配当金履歴一覧'!$H:$H,('配当金履歴一覧'!$C:$C=G145)*('配当金履歴一覧'!$B:$B=$B145))"),450.0)</f>
        <v>450</v>
      </c>
      <c r="I148" s="19">
        <f>IFERROR(__xludf.DUMMYFUNCTION("FILTER('配当金履歴一覧'!$G:$G,('配当金履歴一覧'!$C:$C=I145)*('配当金履歴一覧'!$B:$B=$B145))"),12.0)</f>
        <v>12</v>
      </c>
      <c r="J148" s="20">
        <f>IFERROR(__xludf.DUMMYFUNCTION("FILTER('配当金履歴一覧'!$H:$H,('配当金履歴一覧'!$C:$C=I145)*('配当金履歴一覧'!$B:$B=$B145))"),480.0)</f>
        <v>480</v>
      </c>
      <c r="K148" s="19"/>
      <c r="L148" s="20"/>
      <c r="M148" s="19"/>
      <c r="N148" s="20"/>
      <c r="O148" s="19"/>
      <c r="P148" s="20"/>
      <c r="Q148" s="19"/>
      <c r="R148" s="20"/>
      <c r="S148" s="19"/>
      <c r="T148" s="20"/>
      <c r="U148" s="19"/>
      <c r="V148" s="20"/>
      <c r="W148" s="19"/>
      <c r="X148" s="20"/>
      <c r="Y148" s="19"/>
      <c r="Z148" s="20"/>
    </row>
    <row r="149">
      <c r="A149" s="11">
        <v>9434.0</v>
      </c>
      <c r="B149" s="12" t="s">
        <v>48</v>
      </c>
      <c r="C149" s="13">
        <v>45444.0</v>
      </c>
      <c r="D149" s="5"/>
      <c r="E149" s="13">
        <v>45627.0</v>
      </c>
      <c r="F149" s="5"/>
      <c r="G149" s="13">
        <v>45809.0</v>
      </c>
      <c r="H149" s="5"/>
      <c r="I149" s="13">
        <v>45992.0</v>
      </c>
      <c r="J149" s="5"/>
      <c r="K149" s="13"/>
      <c r="L149" s="5"/>
      <c r="M149" s="13"/>
      <c r="N149" s="5"/>
      <c r="O149" s="13"/>
      <c r="P149" s="5"/>
      <c r="Q149" s="13"/>
      <c r="R149" s="5"/>
      <c r="S149" s="13"/>
      <c r="T149" s="5"/>
      <c r="U149" s="13"/>
      <c r="V149" s="5"/>
      <c r="W149" s="13"/>
      <c r="X149" s="5"/>
      <c r="Y149" s="13"/>
      <c r="Z149" s="5"/>
    </row>
    <row r="150">
      <c r="A150" s="6"/>
      <c r="B150" s="6"/>
      <c r="C150" s="22">
        <f>IFERROR(__xludf.DUMMYFUNCTION("FILTER('配当金履歴一覧'!$D:$D,('配当金履歴一覧'!$C:$C=C149)*('配当金履歴一覧'!$B:$B=$B149))"),43.0)</f>
        <v>43</v>
      </c>
      <c r="D150" s="5"/>
      <c r="E150" s="22">
        <f>IFERROR(__xludf.DUMMYFUNCTION("FILTER('配当金履歴一覧'!$D:$D,('配当金履歴一覧'!$C:$C=E149)*('配当金履歴一覧'!$B:$B=$B149))"),43.0)</f>
        <v>43</v>
      </c>
      <c r="F150" s="5"/>
      <c r="G150" s="22">
        <f>IFERROR(__xludf.DUMMYFUNCTION("FILTER('配当金履歴一覧'!$D:$D,('配当金履歴一覧'!$C:$C=G149)*('配当金履歴一覧'!$B:$B=$B149))"),4.3)</f>
        <v>4.3</v>
      </c>
      <c r="H150" s="5"/>
      <c r="I150" s="22">
        <f>IFERROR(__xludf.DUMMYFUNCTION("FILTER('配当金履歴一覧'!$D:$D,('配当金履歴一覧'!$C:$C=I149)*('配当金履歴一覧'!$B:$B=$B149))"),4.3)</f>
        <v>4.3</v>
      </c>
      <c r="J150" s="5"/>
      <c r="K150" s="21"/>
      <c r="L150" s="5"/>
      <c r="M150" s="21"/>
      <c r="N150" s="5"/>
      <c r="O150" s="21"/>
      <c r="P150" s="5"/>
      <c r="Q150" s="21"/>
      <c r="R150" s="5"/>
      <c r="S150" s="21"/>
      <c r="T150" s="5"/>
      <c r="U150" s="21"/>
      <c r="V150" s="5"/>
      <c r="W150" s="21"/>
      <c r="X150" s="5"/>
      <c r="Y150" s="21"/>
      <c r="Z150" s="5"/>
    </row>
    <row r="151">
      <c r="A151" s="6"/>
      <c r="B151" s="6"/>
      <c r="C151" s="17">
        <f>IFERROR(__xludf.DUMMYFUNCTION("FILTER('配当金履歴一覧'!$E:$E,('配当金履歴一覧'!$C:$C=C149)*('配当金履歴一覧'!$B:$B=$B149))"),10.0)</f>
        <v>10</v>
      </c>
      <c r="D151" s="18">
        <f>IFERROR(__xludf.DUMMYFUNCTION("FILTER('配当金履歴一覧'!$F:$F,('配当金履歴一覧'!$C:$C=C149)*('配当金履歴一覧'!$B:$B=$B149))"),344.0)</f>
        <v>344</v>
      </c>
      <c r="E151" s="17">
        <f>IFERROR(__xludf.DUMMYFUNCTION("FILTER('配当金履歴一覧'!$E:$E,('配当金履歴一覧'!$C:$C=E149)*('配当金履歴一覧'!$B:$B=$B149))"),10.0)</f>
        <v>10</v>
      </c>
      <c r="F151" s="18">
        <f>IFERROR(__xludf.DUMMYFUNCTION("FILTER('配当金履歴一覧'!$F:$F,('配当金履歴一覧'!$C:$C=E149)*('配当金履歴一覧'!$B:$B=$B149))"),344.0)</f>
        <v>344</v>
      </c>
      <c r="G151" s="17">
        <f>IFERROR(__xludf.DUMMYFUNCTION("FILTER('配当金履歴一覧'!$E:$E,('配当金履歴一覧'!$C:$C=G149)*('配当金履歴一覧'!$B:$B=$B149))"),100.0)</f>
        <v>100</v>
      </c>
      <c r="H151" s="18">
        <f>IFERROR(__xludf.DUMMYFUNCTION("FILTER('配当金履歴一覧'!$F:$F,('配当金履歴一覧'!$C:$C=G149)*('配当金履歴一覧'!$B:$B=$B149))"),344.0)</f>
        <v>344</v>
      </c>
      <c r="I151" s="17">
        <f>IFERROR(__xludf.DUMMYFUNCTION("FILTER('配当金履歴一覧'!$E:$E,('配当金履歴一覧'!$C:$C=I149)*('配当金履歴一覧'!$B:$B=$B149))"),100.0)</f>
        <v>100</v>
      </c>
      <c r="J151" s="18">
        <f>IFERROR(__xludf.DUMMYFUNCTION("FILTER('配当金履歴一覧'!$F:$F,('配当金履歴一覧'!$C:$C=I149)*('配当金履歴一覧'!$B:$B=$B149))"),344.0)</f>
        <v>344</v>
      </c>
      <c r="K151" s="17"/>
      <c r="L151" s="18"/>
      <c r="M151" s="17"/>
      <c r="N151" s="18"/>
      <c r="O151" s="17"/>
      <c r="P151" s="18"/>
      <c r="Q151" s="17"/>
      <c r="R151" s="18"/>
      <c r="S151" s="17"/>
      <c r="T151" s="18"/>
      <c r="U151" s="17"/>
      <c r="V151" s="18"/>
      <c r="W151" s="17"/>
      <c r="X151" s="18"/>
      <c r="Y151" s="17"/>
      <c r="Z151" s="18"/>
    </row>
    <row r="152">
      <c r="A152" s="9"/>
      <c r="B152" s="9"/>
      <c r="C152" s="19">
        <f>IFERROR(__xludf.DUMMYFUNCTION("FILTER('配当金履歴一覧'!$G:$G,('配当金履歴一覧'!$C:$C=C149)*('配当金履歴一覧'!$B:$B=$B149))"),0.0)</f>
        <v>0</v>
      </c>
      <c r="D152" s="20">
        <f>IFERROR(__xludf.DUMMYFUNCTION("FILTER('配当金履歴一覧'!$H:$H,('配当金履歴一覧'!$C:$C=C149)*('配当金履歴一覧'!$B:$B=$B149))"),0.0)</f>
        <v>0</v>
      </c>
      <c r="E152" s="19">
        <f>IFERROR(__xludf.DUMMYFUNCTION("FILTER('配当金履歴一覧'!$G:$G,('配当金履歴一覧'!$C:$C=E149)*('配当金履歴一覧'!$B:$B=$B149))"),3.0)</f>
        <v>3</v>
      </c>
      <c r="F152" s="20">
        <f>IFERROR(__xludf.DUMMYFUNCTION("FILTER('配当金履歴一覧'!$H:$H,('配当金履歴一覧'!$C:$C=E149)*('配当金履歴一覧'!$B:$B=$B149))"),129.0)</f>
        <v>129</v>
      </c>
      <c r="G152" s="19">
        <f>IFERROR(__xludf.DUMMYFUNCTION("FILTER('配当金履歴一覧'!$G:$G,('配当金履歴一覧'!$C:$C=G149)*('配当金履歴一覧'!$B:$B=$B149))"),30.0)</f>
        <v>30</v>
      </c>
      <c r="H152" s="20">
        <f>IFERROR(__xludf.DUMMYFUNCTION("FILTER('配当金履歴一覧'!$H:$H,('配当金履歴一覧'!$C:$C=G149)*('配当金履歴一覧'!$B:$B=$B149))"),129.0)</f>
        <v>129</v>
      </c>
      <c r="I152" s="19">
        <f>IFERROR(__xludf.DUMMYFUNCTION("FILTER('配当金履歴一覧'!$G:$G,('配当金履歴一覧'!$C:$C=I149)*('配当金履歴一覧'!$B:$B=$B149))"),30.0)</f>
        <v>30</v>
      </c>
      <c r="J152" s="20">
        <f>IFERROR(__xludf.DUMMYFUNCTION("FILTER('配当金履歴一覧'!$H:$H,('配当金履歴一覧'!$C:$C=I149)*('配当金履歴一覧'!$B:$B=$B149))"),129.0)</f>
        <v>129</v>
      </c>
      <c r="K152" s="19"/>
      <c r="L152" s="20"/>
      <c r="M152" s="19"/>
      <c r="N152" s="20"/>
      <c r="O152" s="19"/>
      <c r="P152" s="20"/>
      <c r="Q152" s="19"/>
      <c r="R152" s="20"/>
      <c r="S152" s="19"/>
      <c r="T152" s="20"/>
      <c r="U152" s="19"/>
      <c r="V152" s="20"/>
      <c r="W152" s="19"/>
      <c r="X152" s="20"/>
      <c r="Y152" s="19"/>
      <c r="Z152" s="20"/>
    </row>
    <row r="153">
      <c r="A153" s="11">
        <v>9513.0</v>
      </c>
      <c r="B153" s="12" t="s">
        <v>49</v>
      </c>
      <c r="C153" s="13">
        <v>45444.0</v>
      </c>
      <c r="D153" s="5"/>
      <c r="E153" s="13">
        <v>45597.0</v>
      </c>
      <c r="F153" s="5"/>
      <c r="G153" s="13">
        <v>45809.0</v>
      </c>
      <c r="H153" s="5"/>
      <c r="I153" s="13">
        <v>45962.0</v>
      </c>
      <c r="J153" s="5"/>
      <c r="K153" s="13"/>
      <c r="L153" s="5"/>
      <c r="M153" s="13"/>
      <c r="N153" s="5"/>
      <c r="O153" s="13"/>
      <c r="P153" s="5"/>
      <c r="Q153" s="13"/>
      <c r="R153" s="5"/>
      <c r="S153" s="13"/>
      <c r="T153" s="5"/>
      <c r="U153" s="13"/>
      <c r="V153" s="5"/>
      <c r="W153" s="13"/>
      <c r="X153" s="5"/>
      <c r="Y153" s="13"/>
      <c r="Z153" s="5"/>
    </row>
    <row r="154">
      <c r="A154" s="6"/>
      <c r="B154" s="6"/>
      <c r="C154" s="15">
        <f>IFERROR(__xludf.DUMMYFUNCTION("FILTER('配当金履歴一覧'!$D:$D,('配当金履歴一覧'!$C:$C=C153)*('配当金履歴一覧'!$B:$B=$B153))"),55.0)</f>
        <v>55</v>
      </c>
      <c r="D154" s="5"/>
      <c r="E154" s="22">
        <f>IFERROR(__xludf.DUMMYFUNCTION("FILTER('配当金履歴一覧'!$D:$D,('配当金履歴一覧'!$C:$C=E153)*('配当金履歴一覧'!$B:$B=$B153))"),50.0)</f>
        <v>50</v>
      </c>
      <c r="F154" s="5"/>
      <c r="G154" s="14">
        <f>IFERROR(__xludf.DUMMYFUNCTION("FILTER('配当金履歴一覧'!$D:$D,('配当金履歴一覧'!$C:$C=G153)*('配当金履歴一覧'!$B:$B=$B153))"),50.0)</f>
        <v>50</v>
      </c>
      <c r="H154" s="5"/>
      <c r="I154" s="22">
        <f>IFERROR(__xludf.DUMMYFUNCTION("FILTER('配当金履歴一覧'!$D:$D,('配当金履歴一覧'!$C:$C=I153)*('配当金履歴一覧'!$B:$B=$B153))"),50.0)</f>
        <v>50</v>
      </c>
      <c r="J154" s="5"/>
      <c r="K154" s="21"/>
      <c r="L154" s="5"/>
      <c r="M154" s="21"/>
      <c r="N154" s="5"/>
      <c r="O154" s="21"/>
      <c r="P154" s="5"/>
      <c r="Q154" s="21"/>
      <c r="R154" s="5"/>
      <c r="S154" s="21"/>
      <c r="T154" s="5"/>
      <c r="U154" s="21"/>
      <c r="V154" s="5"/>
      <c r="W154" s="21"/>
      <c r="X154" s="5"/>
      <c r="Y154" s="21"/>
      <c r="Z154" s="5"/>
    </row>
    <row r="155">
      <c r="A155" s="6"/>
      <c r="B155" s="6"/>
      <c r="C155" s="17">
        <f>IFERROR(__xludf.DUMMYFUNCTION("FILTER('配当金履歴一覧'!$E:$E,('配当金履歴一覧'!$C:$C=C153)*('配当金履歴一覧'!$B:$B=$B153))"),13.0)</f>
        <v>13</v>
      </c>
      <c r="D155" s="18">
        <f>IFERROR(__xludf.DUMMYFUNCTION("FILTER('配当金履歴一覧'!$F:$F,('配当金履歴一覧'!$C:$C=C153)*('配当金履歴一覧'!$B:$B=$B153))"),571.0)</f>
        <v>571</v>
      </c>
      <c r="E155" s="17">
        <f>IFERROR(__xludf.DUMMYFUNCTION("FILTER('配当金履歴一覧'!$E:$E,('配当金履歴一覧'!$C:$C=E153)*('配当金履歴一覧'!$B:$B=$B153))"),13.0)</f>
        <v>13</v>
      </c>
      <c r="F155" s="18">
        <f>IFERROR(__xludf.DUMMYFUNCTION("FILTER('配当金履歴一覧'!$F:$F,('配当金履歴一覧'!$C:$C=E153)*('配当金履歴一覧'!$B:$B=$B153))"),519.0)</f>
        <v>519</v>
      </c>
      <c r="G155" s="17">
        <f>IFERROR(__xludf.DUMMYFUNCTION("FILTER('配当金履歴一覧'!$E:$E,('配当金履歴一覧'!$C:$C=G153)*('配当金履歴一覧'!$B:$B=$B153))"),13.0)</f>
        <v>13</v>
      </c>
      <c r="H155" s="18">
        <f>IFERROR(__xludf.DUMMYFUNCTION("FILTER('配当金履歴一覧'!$F:$F,('配当金履歴一覧'!$C:$C=G153)*('配当金履歴一覧'!$B:$B=$B153))"),519.0)</f>
        <v>519</v>
      </c>
      <c r="I155" s="17">
        <f>IFERROR(__xludf.DUMMYFUNCTION("FILTER('配当金履歴一覧'!$E:$E,('配当金履歴一覧'!$C:$C=I153)*('配当金履歴一覧'!$B:$B=$B153))"),13.0)</f>
        <v>13</v>
      </c>
      <c r="J155" s="18">
        <f>IFERROR(__xludf.DUMMYFUNCTION("FILTER('配当金履歴一覧'!$F:$F,('配当金履歴一覧'!$C:$C=I153)*('配当金履歴一覧'!$B:$B=$B153))"),519.0)</f>
        <v>519</v>
      </c>
      <c r="K155" s="17"/>
      <c r="L155" s="18"/>
      <c r="M155" s="17"/>
      <c r="N155" s="18"/>
      <c r="O155" s="17"/>
      <c r="P155" s="18"/>
      <c r="Q155" s="17"/>
      <c r="R155" s="18"/>
      <c r="S155" s="17"/>
      <c r="T155" s="18"/>
      <c r="U155" s="17"/>
      <c r="V155" s="18"/>
      <c r="W155" s="17"/>
      <c r="X155" s="18"/>
      <c r="Y155" s="17"/>
      <c r="Z155" s="18"/>
    </row>
    <row r="156">
      <c r="A156" s="9"/>
      <c r="B156" s="9"/>
      <c r="C156" s="19">
        <f>IFERROR(__xludf.DUMMYFUNCTION("FILTER('配当金履歴一覧'!$G:$G,('配当金履歴一覧'!$C:$C=C153)*('配当金履歴一覧'!$B:$B=$B153))"),3.0)</f>
        <v>3</v>
      </c>
      <c r="D156" s="20">
        <f>IFERROR(__xludf.DUMMYFUNCTION("FILTER('配当金履歴一覧'!$H:$H,('配当金履歴一覧'!$C:$C=C153)*('配当金履歴一覧'!$B:$B=$B153))"),165.0)</f>
        <v>165</v>
      </c>
      <c r="E156" s="19">
        <f>IFERROR(__xludf.DUMMYFUNCTION("FILTER('配当金履歴一覧'!$G:$G,('配当金履歴一覧'!$C:$C=E153)*('配当金履歴一覧'!$B:$B=$B153))"),8.0)</f>
        <v>8</v>
      </c>
      <c r="F156" s="20">
        <f>IFERROR(__xludf.DUMMYFUNCTION("FILTER('配当金履歴一覧'!$H:$H,('配当金履歴一覧'!$C:$C=E153)*('配当金履歴一覧'!$B:$B=$B153))"),400.0)</f>
        <v>400</v>
      </c>
      <c r="G156" s="19">
        <f>IFERROR(__xludf.DUMMYFUNCTION("FILTER('配当金履歴一覧'!$G:$G,('配当金履歴一覧'!$C:$C=G153)*('配当金履歴一覧'!$B:$B=$B153))"),11.0)</f>
        <v>11</v>
      </c>
      <c r="H156" s="20">
        <f>IFERROR(__xludf.DUMMYFUNCTION("FILTER('配当金履歴一覧'!$H:$H,('配当金履歴一覧'!$C:$C=G153)*('配当金履歴一覧'!$B:$B=$B153))"),550.0)</f>
        <v>550</v>
      </c>
      <c r="I156" s="19">
        <f>IFERROR(__xludf.DUMMYFUNCTION("FILTER('配当金履歴一覧'!$G:$G,('配当金履歴一覧'!$C:$C=I153)*('配当金履歴一覧'!$B:$B=$B153))"),14.0)</f>
        <v>14</v>
      </c>
      <c r="J156" s="20">
        <f>IFERROR(__xludf.DUMMYFUNCTION("FILTER('配当金履歴一覧'!$H:$H,('配当金履歴一覧'!$C:$C=I153)*('配当金履歴一覧'!$B:$B=$B153))"),700.0)</f>
        <v>700</v>
      </c>
      <c r="K156" s="19"/>
      <c r="L156" s="20"/>
      <c r="M156" s="19"/>
      <c r="N156" s="20"/>
      <c r="O156" s="19"/>
      <c r="P156" s="20"/>
      <c r="Q156" s="19"/>
      <c r="R156" s="20"/>
      <c r="S156" s="19"/>
      <c r="T156" s="20"/>
      <c r="U156" s="19"/>
      <c r="V156" s="20"/>
      <c r="W156" s="19"/>
      <c r="X156" s="20"/>
      <c r="Y156" s="19"/>
      <c r="Z156" s="20"/>
    </row>
    <row r="157">
      <c r="A157" s="24"/>
      <c r="B157" s="25"/>
      <c r="C157" s="26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4"/>
      <c r="B158" s="25"/>
      <c r="C158" s="26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4"/>
      <c r="B159" s="25"/>
      <c r="C159" s="26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4"/>
      <c r="B160" s="25"/>
      <c r="C160" s="26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4"/>
      <c r="B161" s="25"/>
      <c r="C161" s="26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4"/>
      <c r="B162" s="25"/>
      <c r="C162" s="26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4"/>
      <c r="B163" s="25"/>
      <c r="C163" s="26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4"/>
      <c r="B164" s="25"/>
      <c r="C164" s="26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4"/>
      <c r="B165" s="25"/>
      <c r="C165" s="26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4"/>
      <c r="B166" s="25"/>
      <c r="C166" s="26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4"/>
      <c r="B167" s="25"/>
      <c r="C167" s="26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4"/>
      <c r="B168" s="25"/>
      <c r="C168" s="26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4"/>
      <c r="B169" s="25"/>
      <c r="C169" s="26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4"/>
      <c r="B170" s="25"/>
      <c r="C170" s="26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4"/>
      <c r="B171" s="25"/>
      <c r="C171" s="26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4"/>
      <c r="B172" s="25"/>
      <c r="C172" s="26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4"/>
      <c r="B173" s="25"/>
      <c r="C173" s="26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4"/>
      <c r="B174" s="25"/>
      <c r="C174" s="26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4"/>
      <c r="B175" s="25"/>
      <c r="C175" s="26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4"/>
      <c r="B176" s="25"/>
      <c r="C176" s="26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4"/>
      <c r="B177" s="25"/>
      <c r="C177" s="26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4"/>
      <c r="B178" s="25"/>
      <c r="C178" s="26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4"/>
      <c r="B179" s="25"/>
      <c r="C179" s="26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4"/>
      <c r="B180" s="25"/>
      <c r="C180" s="26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4"/>
      <c r="B181" s="25"/>
      <c r="C181" s="26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4"/>
      <c r="B182" s="25"/>
      <c r="C182" s="26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4"/>
      <c r="B183" s="25"/>
      <c r="C183" s="26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4"/>
      <c r="B184" s="25"/>
      <c r="C184" s="26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4"/>
      <c r="B185" s="25"/>
      <c r="C185" s="26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4"/>
      <c r="B186" s="25"/>
      <c r="C186" s="26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4"/>
      <c r="B187" s="25"/>
      <c r="C187" s="26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4"/>
      <c r="B188" s="25"/>
      <c r="C188" s="26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4"/>
      <c r="B189" s="25"/>
      <c r="C189" s="26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4"/>
      <c r="B190" s="25"/>
      <c r="C190" s="26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4"/>
      <c r="B191" s="25"/>
      <c r="C191" s="26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4"/>
      <c r="B192" s="25"/>
      <c r="C192" s="26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4"/>
      <c r="B193" s="25"/>
      <c r="C193" s="26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4"/>
      <c r="B194" s="25"/>
      <c r="C194" s="26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4"/>
      <c r="B195" s="25"/>
      <c r="C195" s="26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4"/>
      <c r="B196" s="25"/>
      <c r="C196" s="26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4"/>
      <c r="B197" s="25"/>
      <c r="C197" s="26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4"/>
      <c r="B198" s="25"/>
      <c r="C198" s="26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4"/>
      <c r="B199" s="25"/>
      <c r="C199" s="26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4"/>
      <c r="B200" s="25"/>
      <c r="C200" s="26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4"/>
      <c r="B201" s="25"/>
      <c r="C201" s="26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4"/>
      <c r="B202" s="25"/>
      <c r="C202" s="26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4"/>
      <c r="B203" s="25"/>
      <c r="C203" s="26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4"/>
      <c r="B204" s="25"/>
      <c r="C204" s="26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4"/>
      <c r="B205" s="25"/>
      <c r="C205" s="26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4"/>
      <c r="B206" s="25"/>
      <c r="C206" s="26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4"/>
      <c r="B207" s="25"/>
      <c r="C207" s="26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4"/>
      <c r="B208" s="25"/>
      <c r="C208" s="26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4"/>
      <c r="B209" s="25"/>
      <c r="C209" s="26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4"/>
      <c r="B210" s="25"/>
      <c r="C210" s="26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4"/>
      <c r="B211" s="25"/>
      <c r="C211" s="26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4"/>
      <c r="B212" s="25"/>
      <c r="C212" s="26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4"/>
      <c r="B213" s="25"/>
      <c r="C213" s="26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4"/>
      <c r="B214" s="25"/>
      <c r="C214" s="26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4"/>
      <c r="B215" s="25"/>
      <c r="C215" s="26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4"/>
      <c r="B216" s="25"/>
      <c r="C216" s="26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4"/>
      <c r="B217" s="25"/>
      <c r="C217" s="26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4"/>
      <c r="B218" s="25"/>
      <c r="C218" s="26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4"/>
      <c r="B219" s="25"/>
      <c r="C219" s="26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4"/>
      <c r="B220" s="25"/>
      <c r="C220" s="26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4"/>
      <c r="B221" s="25"/>
      <c r="C221" s="26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4"/>
      <c r="B222" s="25"/>
      <c r="C222" s="26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4"/>
      <c r="B223" s="25"/>
      <c r="C223" s="26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4"/>
      <c r="B224" s="25"/>
      <c r="C224" s="26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4"/>
      <c r="B225" s="25"/>
      <c r="C225" s="26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4"/>
      <c r="B226" s="25"/>
      <c r="C226" s="26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4"/>
      <c r="B227" s="25"/>
      <c r="C227" s="26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4"/>
      <c r="B228" s="25"/>
      <c r="C228" s="26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4"/>
      <c r="B229" s="25"/>
      <c r="C229" s="26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4"/>
      <c r="B230" s="25"/>
      <c r="C230" s="26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4"/>
      <c r="B231" s="25"/>
      <c r="C231" s="26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4"/>
      <c r="B232" s="25"/>
      <c r="C232" s="26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4"/>
      <c r="B233" s="25"/>
      <c r="C233" s="26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4"/>
      <c r="B234" s="25"/>
      <c r="C234" s="26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4"/>
      <c r="B235" s="25"/>
      <c r="C235" s="26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4"/>
      <c r="B236" s="25"/>
      <c r="C236" s="26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4"/>
      <c r="B237" s="25"/>
      <c r="C237" s="26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4"/>
      <c r="B238" s="25"/>
      <c r="C238" s="26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4"/>
      <c r="B239" s="25"/>
      <c r="C239" s="26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4"/>
      <c r="B240" s="25"/>
      <c r="C240" s="26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4"/>
      <c r="B241" s="25"/>
      <c r="C241" s="26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4"/>
      <c r="B242" s="25"/>
      <c r="C242" s="26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4"/>
      <c r="B243" s="25"/>
      <c r="C243" s="26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4"/>
      <c r="B244" s="25"/>
      <c r="C244" s="26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4"/>
      <c r="B245" s="25"/>
      <c r="C245" s="26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4"/>
      <c r="B246" s="25"/>
      <c r="C246" s="26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4"/>
      <c r="B247" s="25"/>
      <c r="C247" s="26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4"/>
      <c r="B248" s="25"/>
      <c r="C248" s="26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4"/>
      <c r="B249" s="25"/>
      <c r="C249" s="26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4"/>
      <c r="B250" s="25"/>
      <c r="C250" s="26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4"/>
      <c r="B251" s="25"/>
      <c r="C251" s="26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4"/>
      <c r="B252" s="25"/>
      <c r="C252" s="26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4"/>
      <c r="B253" s="25"/>
      <c r="C253" s="26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4"/>
      <c r="B254" s="25"/>
      <c r="C254" s="26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4"/>
      <c r="B255" s="25"/>
      <c r="C255" s="26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4"/>
      <c r="B256" s="25"/>
      <c r="C256" s="26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4"/>
      <c r="B257" s="25"/>
      <c r="C257" s="26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4"/>
      <c r="B258" s="25"/>
      <c r="C258" s="26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4"/>
      <c r="B259" s="25"/>
      <c r="C259" s="26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4"/>
      <c r="B260" s="25"/>
      <c r="C260" s="26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4"/>
      <c r="B261" s="25"/>
      <c r="C261" s="26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4"/>
      <c r="B262" s="25"/>
      <c r="C262" s="26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4"/>
      <c r="B263" s="25"/>
      <c r="C263" s="26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4"/>
      <c r="B264" s="25"/>
      <c r="C264" s="26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4"/>
      <c r="B265" s="25"/>
      <c r="C265" s="26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4"/>
      <c r="B266" s="25"/>
      <c r="C266" s="26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4"/>
      <c r="B267" s="25"/>
      <c r="C267" s="26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4"/>
      <c r="B268" s="25"/>
      <c r="C268" s="26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4"/>
      <c r="B269" s="25"/>
      <c r="C269" s="26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4"/>
      <c r="B270" s="25"/>
      <c r="C270" s="26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4"/>
      <c r="B271" s="25"/>
      <c r="C271" s="26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4"/>
      <c r="B272" s="25"/>
      <c r="C272" s="26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4"/>
      <c r="B273" s="25"/>
      <c r="C273" s="26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4"/>
      <c r="B274" s="25"/>
      <c r="C274" s="26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4"/>
      <c r="B275" s="25"/>
      <c r="C275" s="26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4"/>
      <c r="B276" s="25"/>
      <c r="C276" s="26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4"/>
      <c r="B277" s="25"/>
      <c r="C277" s="26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4"/>
      <c r="B278" s="25"/>
      <c r="C278" s="26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4"/>
      <c r="B279" s="25"/>
      <c r="C279" s="26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4"/>
      <c r="B280" s="25"/>
      <c r="C280" s="26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4"/>
      <c r="B281" s="25"/>
      <c r="C281" s="26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4"/>
      <c r="B282" s="25"/>
      <c r="C282" s="26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4"/>
      <c r="B283" s="25"/>
      <c r="C283" s="26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4"/>
      <c r="B284" s="25"/>
      <c r="C284" s="26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4"/>
      <c r="B285" s="25"/>
      <c r="C285" s="26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4"/>
      <c r="B286" s="25"/>
      <c r="C286" s="26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4"/>
      <c r="B287" s="25"/>
      <c r="C287" s="26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4"/>
      <c r="B288" s="25"/>
      <c r="C288" s="26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4"/>
      <c r="B289" s="25"/>
      <c r="C289" s="26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4"/>
      <c r="B290" s="25"/>
      <c r="C290" s="26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4"/>
      <c r="B291" s="25"/>
      <c r="C291" s="26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4"/>
      <c r="B292" s="25"/>
      <c r="C292" s="26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4"/>
      <c r="B293" s="25"/>
      <c r="C293" s="26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4"/>
      <c r="B294" s="25"/>
      <c r="C294" s="26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4"/>
      <c r="B295" s="25"/>
      <c r="C295" s="26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4"/>
      <c r="B296" s="25"/>
      <c r="C296" s="26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4"/>
      <c r="B297" s="25"/>
      <c r="C297" s="26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4"/>
      <c r="B298" s="25"/>
      <c r="C298" s="26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4"/>
      <c r="B299" s="25"/>
      <c r="C299" s="26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4"/>
      <c r="B300" s="25"/>
      <c r="C300" s="26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4"/>
      <c r="B301" s="25"/>
      <c r="C301" s="26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4"/>
      <c r="B302" s="25"/>
      <c r="C302" s="26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4"/>
      <c r="B303" s="25"/>
      <c r="C303" s="26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4"/>
      <c r="B304" s="25"/>
      <c r="C304" s="26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4"/>
      <c r="B305" s="25"/>
      <c r="C305" s="26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4"/>
      <c r="B306" s="25"/>
      <c r="C306" s="26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4"/>
      <c r="B307" s="25"/>
      <c r="C307" s="26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4"/>
      <c r="B308" s="25"/>
      <c r="C308" s="26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4"/>
      <c r="B309" s="25"/>
      <c r="C309" s="26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4"/>
      <c r="B310" s="25"/>
      <c r="C310" s="26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4"/>
      <c r="B311" s="25"/>
      <c r="C311" s="26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4"/>
      <c r="B312" s="25"/>
      <c r="C312" s="26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4"/>
      <c r="B313" s="25"/>
      <c r="C313" s="26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4"/>
      <c r="B314" s="25"/>
      <c r="C314" s="26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4"/>
      <c r="B315" s="25"/>
      <c r="C315" s="26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4"/>
      <c r="B316" s="25"/>
      <c r="C316" s="26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4"/>
      <c r="B317" s="25"/>
      <c r="C317" s="26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4"/>
      <c r="B318" s="25"/>
      <c r="C318" s="26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4"/>
      <c r="B319" s="25"/>
      <c r="C319" s="26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4"/>
      <c r="B320" s="25"/>
      <c r="C320" s="26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4"/>
      <c r="B321" s="25"/>
      <c r="C321" s="26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4"/>
      <c r="B322" s="25"/>
      <c r="C322" s="26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4"/>
      <c r="B323" s="25"/>
      <c r="C323" s="26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4"/>
      <c r="B324" s="25"/>
      <c r="C324" s="26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4"/>
      <c r="B325" s="25"/>
      <c r="C325" s="26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4"/>
      <c r="B326" s="25"/>
      <c r="C326" s="26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4"/>
      <c r="B327" s="25"/>
      <c r="C327" s="26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4"/>
      <c r="B328" s="25"/>
      <c r="C328" s="26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4"/>
      <c r="B329" s="25"/>
      <c r="C329" s="26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4"/>
      <c r="B330" s="25"/>
      <c r="C330" s="26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4"/>
      <c r="B331" s="25"/>
      <c r="C331" s="26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4"/>
      <c r="B332" s="25"/>
      <c r="C332" s="26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4"/>
      <c r="B333" s="25"/>
      <c r="C333" s="26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4"/>
      <c r="B334" s="25"/>
      <c r="C334" s="26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4"/>
      <c r="B335" s="25"/>
      <c r="C335" s="26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4"/>
      <c r="B336" s="25"/>
      <c r="C336" s="26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4"/>
      <c r="B337" s="25"/>
      <c r="C337" s="26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4"/>
      <c r="B338" s="25"/>
      <c r="C338" s="26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4"/>
      <c r="B339" s="25"/>
      <c r="C339" s="26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4"/>
      <c r="B340" s="25"/>
      <c r="C340" s="26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4"/>
      <c r="B341" s="25"/>
      <c r="C341" s="26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4"/>
      <c r="B342" s="25"/>
      <c r="C342" s="26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4"/>
      <c r="B343" s="25"/>
      <c r="C343" s="26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4"/>
      <c r="B344" s="25"/>
      <c r="C344" s="26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4"/>
      <c r="B345" s="25"/>
      <c r="C345" s="26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4"/>
      <c r="B346" s="25"/>
      <c r="C346" s="26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4"/>
      <c r="B347" s="25"/>
      <c r="C347" s="26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4"/>
      <c r="B348" s="25"/>
      <c r="C348" s="26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4"/>
      <c r="B349" s="25"/>
      <c r="C349" s="26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4"/>
      <c r="B350" s="25"/>
      <c r="C350" s="26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4"/>
      <c r="B351" s="25"/>
      <c r="C351" s="26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4"/>
      <c r="B352" s="25"/>
      <c r="C352" s="26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4"/>
      <c r="B353" s="25"/>
      <c r="C353" s="26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4"/>
      <c r="B354" s="25"/>
      <c r="C354" s="26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4"/>
      <c r="B355" s="25"/>
      <c r="C355" s="26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4"/>
      <c r="B356" s="25"/>
      <c r="C356" s="26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4"/>
      <c r="B357" s="25"/>
      <c r="C357" s="26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4"/>
      <c r="B358" s="25"/>
      <c r="C358" s="26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4"/>
      <c r="B359" s="25"/>
      <c r="C359" s="26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4"/>
      <c r="B360" s="25"/>
      <c r="C360" s="26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4"/>
      <c r="B361" s="25"/>
      <c r="C361" s="26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4"/>
      <c r="B362" s="25"/>
      <c r="C362" s="26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4"/>
      <c r="B363" s="25"/>
      <c r="C363" s="26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4"/>
      <c r="B364" s="25"/>
      <c r="C364" s="26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4"/>
      <c r="B365" s="25"/>
      <c r="C365" s="26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4"/>
      <c r="B366" s="25"/>
      <c r="C366" s="26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4"/>
      <c r="B367" s="25"/>
      <c r="C367" s="26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4"/>
      <c r="B368" s="25"/>
      <c r="C368" s="26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4"/>
      <c r="B369" s="25"/>
      <c r="C369" s="26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4"/>
      <c r="B370" s="25"/>
      <c r="C370" s="26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4"/>
      <c r="B371" s="25"/>
      <c r="C371" s="26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4"/>
      <c r="B372" s="25"/>
      <c r="C372" s="26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4"/>
      <c r="B373" s="25"/>
      <c r="C373" s="26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4"/>
      <c r="B374" s="25"/>
      <c r="C374" s="26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4"/>
      <c r="B375" s="25"/>
      <c r="C375" s="26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4"/>
      <c r="B376" s="25"/>
      <c r="C376" s="26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4"/>
      <c r="B377" s="25"/>
      <c r="C377" s="26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4"/>
      <c r="B378" s="25"/>
      <c r="C378" s="26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4"/>
      <c r="B379" s="25"/>
      <c r="C379" s="26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4"/>
      <c r="B380" s="25"/>
      <c r="C380" s="26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4"/>
      <c r="B381" s="25"/>
      <c r="C381" s="26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4"/>
      <c r="B382" s="25"/>
      <c r="C382" s="26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4"/>
      <c r="B383" s="25"/>
      <c r="C383" s="26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4"/>
      <c r="B384" s="25"/>
      <c r="C384" s="26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4"/>
      <c r="B385" s="25"/>
      <c r="C385" s="26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4"/>
      <c r="B386" s="25"/>
      <c r="C386" s="26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4"/>
      <c r="B387" s="25"/>
      <c r="C387" s="26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4"/>
      <c r="B388" s="25"/>
      <c r="C388" s="26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4"/>
      <c r="B389" s="25"/>
      <c r="C389" s="26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4"/>
      <c r="B390" s="25"/>
      <c r="C390" s="26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4"/>
      <c r="B391" s="25"/>
      <c r="C391" s="26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4"/>
      <c r="B392" s="25"/>
      <c r="C392" s="26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4"/>
      <c r="B393" s="25"/>
      <c r="C393" s="26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4"/>
      <c r="B394" s="25"/>
      <c r="C394" s="26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4"/>
      <c r="B395" s="25"/>
      <c r="C395" s="26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4"/>
      <c r="B396" s="25"/>
      <c r="C396" s="26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4"/>
      <c r="B397" s="25"/>
      <c r="C397" s="26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4"/>
      <c r="B398" s="25"/>
      <c r="C398" s="26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4"/>
      <c r="B399" s="25"/>
      <c r="C399" s="26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4"/>
      <c r="B400" s="25"/>
      <c r="C400" s="26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4"/>
      <c r="B401" s="25"/>
      <c r="C401" s="26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4"/>
      <c r="B402" s="25"/>
      <c r="C402" s="26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4"/>
      <c r="B403" s="25"/>
      <c r="C403" s="26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4"/>
      <c r="B404" s="25"/>
      <c r="C404" s="26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4"/>
      <c r="B405" s="25"/>
      <c r="C405" s="26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4"/>
      <c r="B406" s="25"/>
      <c r="C406" s="26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4"/>
      <c r="B407" s="25"/>
      <c r="C407" s="26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4"/>
      <c r="B408" s="25"/>
      <c r="C408" s="26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4"/>
      <c r="B409" s="25"/>
      <c r="C409" s="26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4"/>
      <c r="B410" s="25"/>
      <c r="C410" s="26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4"/>
      <c r="B411" s="25"/>
      <c r="C411" s="26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4"/>
      <c r="B412" s="25"/>
      <c r="C412" s="26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4"/>
      <c r="B413" s="25"/>
      <c r="C413" s="26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4"/>
      <c r="B414" s="25"/>
      <c r="C414" s="26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4"/>
      <c r="B415" s="25"/>
      <c r="C415" s="26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4"/>
      <c r="B416" s="25"/>
      <c r="C416" s="26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4"/>
      <c r="B417" s="25"/>
      <c r="C417" s="26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4"/>
      <c r="B418" s="25"/>
      <c r="C418" s="26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4"/>
      <c r="B419" s="25"/>
      <c r="C419" s="26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4"/>
      <c r="B420" s="25"/>
      <c r="C420" s="26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4"/>
      <c r="B421" s="25"/>
      <c r="C421" s="26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4"/>
      <c r="B422" s="25"/>
      <c r="C422" s="26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4"/>
      <c r="B423" s="25"/>
      <c r="C423" s="26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4"/>
      <c r="B424" s="25"/>
      <c r="C424" s="26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4"/>
      <c r="B425" s="25"/>
      <c r="C425" s="26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4"/>
      <c r="B426" s="25"/>
      <c r="C426" s="26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4"/>
      <c r="B427" s="25"/>
      <c r="C427" s="26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4"/>
      <c r="B428" s="25"/>
      <c r="C428" s="26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4"/>
      <c r="B429" s="25"/>
      <c r="C429" s="26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4"/>
      <c r="B430" s="25"/>
      <c r="C430" s="26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4"/>
      <c r="B431" s="25"/>
      <c r="C431" s="26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4"/>
      <c r="B432" s="25"/>
      <c r="C432" s="26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4"/>
      <c r="B433" s="25"/>
      <c r="C433" s="26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4"/>
      <c r="B434" s="25"/>
      <c r="C434" s="26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4"/>
      <c r="B435" s="25"/>
      <c r="C435" s="26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4"/>
      <c r="B436" s="25"/>
      <c r="C436" s="26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4"/>
      <c r="B437" s="25"/>
      <c r="C437" s="26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4"/>
      <c r="B438" s="25"/>
      <c r="C438" s="26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4"/>
      <c r="B439" s="25"/>
      <c r="C439" s="26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4"/>
      <c r="B440" s="25"/>
      <c r="C440" s="26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4"/>
      <c r="B441" s="25"/>
      <c r="C441" s="26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4"/>
      <c r="B442" s="25"/>
      <c r="C442" s="26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4"/>
      <c r="B443" s="25"/>
      <c r="C443" s="26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4"/>
      <c r="B444" s="25"/>
      <c r="C444" s="26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4"/>
      <c r="B445" s="25"/>
      <c r="C445" s="26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4"/>
      <c r="B446" s="25"/>
      <c r="C446" s="26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4"/>
      <c r="B447" s="25"/>
      <c r="C447" s="26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4"/>
      <c r="B448" s="25"/>
      <c r="C448" s="26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4"/>
      <c r="B449" s="25"/>
      <c r="C449" s="26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4"/>
      <c r="B450" s="25"/>
      <c r="C450" s="26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4"/>
      <c r="B451" s="25"/>
      <c r="C451" s="26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4"/>
      <c r="B452" s="25"/>
      <c r="C452" s="26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4"/>
      <c r="B453" s="25"/>
      <c r="C453" s="26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4"/>
      <c r="B454" s="25"/>
      <c r="C454" s="26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4"/>
      <c r="B455" s="25"/>
      <c r="C455" s="26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4"/>
      <c r="B456" s="25"/>
      <c r="C456" s="26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4"/>
      <c r="B457" s="25"/>
      <c r="C457" s="26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4"/>
      <c r="B458" s="25"/>
      <c r="C458" s="26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4"/>
      <c r="B459" s="25"/>
      <c r="C459" s="26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4"/>
      <c r="B460" s="25"/>
      <c r="C460" s="26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4"/>
      <c r="B461" s="25"/>
      <c r="C461" s="26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4"/>
      <c r="B462" s="25"/>
      <c r="C462" s="26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4"/>
      <c r="B463" s="25"/>
      <c r="C463" s="26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4"/>
      <c r="B464" s="25"/>
      <c r="C464" s="26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4"/>
      <c r="B465" s="25"/>
      <c r="C465" s="26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4"/>
      <c r="B466" s="25"/>
      <c r="C466" s="26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4"/>
      <c r="B467" s="25"/>
      <c r="C467" s="26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4"/>
      <c r="B468" s="25"/>
      <c r="C468" s="26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4"/>
      <c r="B469" s="25"/>
      <c r="C469" s="26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4"/>
      <c r="B470" s="25"/>
      <c r="C470" s="26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4"/>
      <c r="B471" s="25"/>
      <c r="C471" s="26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4"/>
      <c r="B472" s="25"/>
      <c r="C472" s="26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4"/>
      <c r="B473" s="25"/>
      <c r="C473" s="26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4"/>
      <c r="B474" s="25"/>
      <c r="C474" s="26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4"/>
      <c r="B475" s="25"/>
      <c r="C475" s="26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4"/>
      <c r="B476" s="25"/>
      <c r="C476" s="26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4"/>
      <c r="B477" s="25"/>
      <c r="C477" s="26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4"/>
      <c r="B478" s="25"/>
      <c r="C478" s="26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4"/>
      <c r="B479" s="25"/>
      <c r="C479" s="26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4"/>
      <c r="B480" s="25"/>
      <c r="C480" s="26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4"/>
      <c r="B481" s="25"/>
      <c r="C481" s="26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4"/>
      <c r="B482" s="25"/>
      <c r="C482" s="26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4"/>
      <c r="B483" s="25"/>
      <c r="C483" s="26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4"/>
      <c r="B484" s="25"/>
      <c r="C484" s="26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4"/>
      <c r="B485" s="25"/>
      <c r="C485" s="26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4"/>
      <c r="B486" s="25"/>
      <c r="C486" s="26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4"/>
      <c r="B487" s="25"/>
      <c r="C487" s="26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4"/>
      <c r="B488" s="25"/>
      <c r="C488" s="26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4"/>
      <c r="B489" s="25"/>
      <c r="C489" s="26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4"/>
      <c r="B490" s="25"/>
      <c r="C490" s="26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4"/>
      <c r="B491" s="25"/>
      <c r="C491" s="26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4"/>
      <c r="B492" s="25"/>
      <c r="C492" s="26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4"/>
      <c r="B493" s="25"/>
      <c r="C493" s="26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4"/>
      <c r="B494" s="25"/>
      <c r="C494" s="26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4"/>
      <c r="B495" s="25"/>
      <c r="C495" s="26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4"/>
      <c r="B496" s="25"/>
      <c r="C496" s="26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4"/>
      <c r="B497" s="25"/>
      <c r="C497" s="26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4"/>
      <c r="B498" s="25"/>
      <c r="C498" s="26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4"/>
      <c r="B499" s="25"/>
      <c r="C499" s="26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4"/>
      <c r="B500" s="25"/>
      <c r="C500" s="26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4"/>
      <c r="B501" s="25"/>
      <c r="C501" s="26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4"/>
      <c r="B502" s="25"/>
      <c r="C502" s="26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4"/>
      <c r="B503" s="25"/>
      <c r="C503" s="26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4"/>
      <c r="B504" s="25"/>
      <c r="C504" s="26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4"/>
      <c r="B505" s="25"/>
      <c r="C505" s="26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4"/>
      <c r="B506" s="25"/>
      <c r="C506" s="26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4"/>
      <c r="B507" s="25"/>
      <c r="C507" s="26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4"/>
      <c r="B508" s="25"/>
      <c r="C508" s="26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4"/>
      <c r="B509" s="25"/>
      <c r="C509" s="26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4"/>
      <c r="B510" s="25"/>
      <c r="C510" s="26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4"/>
      <c r="B511" s="25"/>
      <c r="C511" s="26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4"/>
      <c r="B512" s="25"/>
      <c r="C512" s="26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4"/>
      <c r="B513" s="25"/>
      <c r="C513" s="26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4"/>
      <c r="B514" s="25"/>
      <c r="C514" s="26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4"/>
      <c r="B515" s="25"/>
      <c r="C515" s="26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4"/>
      <c r="B516" s="25"/>
      <c r="C516" s="26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4"/>
      <c r="B517" s="25"/>
      <c r="C517" s="26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4"/>
      <c r="B518" s="25"/>
      <c r="C518" s="26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4"/>
      <c r="B519" s="25"/>
      <c r="C519" s="26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4"/>
      <c r="B520" s="25"/>
      <c r="C520" s="26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4"/>
      <c r="B521" s="25"/>
      <c r="C521" s="26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4"/>
      <c r="B522" s="25"/>
      <c r="C522" s="26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4"/>
      <c r="B523" s="25"/>
      <c r="C523" s="26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4"/>
      <c r="B524" s="25"/>
      <c r="C524" s="26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4"/>
      <c r="B525" s="25"/>
      <c r="C525" s="26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4"/>
      <c r="B526" s="25"/>
      <c r="C526" s="26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4"/>
      <c r="B527" s="25"/>
      <c r="C527" s="26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4"/>
      <c r="B528" s="25"/>
      <c r="C528" s="26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4"/>
      <c r="B529" s="25"/>
      <c r="C529" s="26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4"/>
      <c r="B530" s="25"/>
      <c r="C530" s="26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4"/>
      <c r="B531" s="25"/>
      <c r="C531" s="26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4"/>
      <c r="B532" s="25"/>
      <c r="C532" s="26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4"/>
      <c r="B533" s="25"/>
      <c r="C533" s="26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4"/>
      <c r="B534" s="25"/>
      <c r="C534" s="26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4"/>
      <c r="B535" s="25"/>
      <c r="C535" s="26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4"/>
      <c r="B536" s="25"/>
      <c r="C536" s="26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4"/>
      <c r="B537" s="25"/>
      <c r="C537" s="26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4"/>
      <c r="B538" s="25"/>
      <c r="C538" s="26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4"/>
      <c r="B539" s="25"/>
      <c r="C539" s="26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4"/>
      <c r="B540" s="25"/>
      <c r="C540" s="26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4"/>
      <c r="B541" s="25"/>
      <c r="C541" s="26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4"/>
      <c r="B542" s="25"/>
      <c r="C542" s="26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4"/>
      <c r="B543" s="25"/>
      <c r="C543" s="26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4"/>
      <c r="B544" s="25"/>
      <c r="C544" s="26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4"/>
      <c r="B545" s="25"/>
      <c r="C545" s="26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4"/>
      <c r="B546" s="25"/>
      <c r="C546" s="26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4"/>
      <c r="B547" s="25"/>
      <c r="C547" s="26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4"/>
      <c r="B548" s="25"/>
      <c r="C548" s="26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4"/>
      <c r="B549" s="25"/>
      <c r="C549" s="26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4"/>
      <c r="B550" s="25"/>
      <c r="C550" s="26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4"/>
      <c r="B551" s="25"/>
      <c r="C551" s="26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4"/>
      <c r="B552" s="25"/>
      <c r="C552" s="26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4"/>
      <c r="B553" s="25"/>
      <c r="C553" s="26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4"/>
      <c r="B554" s="25"/>
      <c r="C554" s="26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4"/>
      <c r="B555" s="25"/>
      <c r="C555" s="26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4"/>
      <c r="B556" s="25"/>
      <c r="C556" s="26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4"/>
      <c r="B557" s="25"/>
      <c r="C557" s="26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4"/>
      <c r="B558" s="25"/>
      <c r="C558" s="26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4"/>
      <c r="B559" s="25"/>
      <c r="C559" s="26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4"/>
      <c r="B560" s="25"/>
      <c r="C560" s="26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4"/>
      <c r="B561" s="25"/>
      <c r="C561" s="26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4"/>
      <c r="B562" s="25"/>
      <c r="C562" s="26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4"/>
      <c r="B563" s="25"/>
      <c r="C563" s="26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4"/>
      <c r="B564" s="25"/>
      <c r="C564" s="26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4"/>
      <c r="B565" s="25"/>
      <c r="C565" s="26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4"/>
      <c r="B566" s="25"/>
      <c r="C566" s="26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4"/>
      <c r="B567" s="25"/>
      <c r="C567" s="26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4"/>
      <c r="B568" s="25"/>
      <c r="C568" s="26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4"/>
      <c r="B569" s="25"/>
      <c r="C569" s="26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4"/>
      <c r="B570" s="25"/>
      <c r="C570" s="26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4"/>
      <c r="B571" s="25"/>
      <c r="C571" s="26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4"/>
      <c r="B572" s="25"/>
      <c r="C572" s="26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4"/>
      <c r="B573" s="25"/>
      <c r="C573" s="26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4"/>
      <c r="B574" s="25"/>
      <c r="C574" s="26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4"/>
      <c r="B575" s="25"/>
      <c r="C575" s="26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4"/>
      <c r="B576" s="25"/>
      <c r="C576" s="26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4"/>
      <c r="B577" s="25"/>
      <c r="C577" s="26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4"/>
      <c r="B578" s="25"/>
      <c r="C578" s="26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4"/>
      <c r="B579" s="25"/>
      <c r="C579" s="26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4"/>
      <c r="B580" s="25"/>
      <c r="C580" s="26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4"/>
      <c r="B581" s="25"/>
      <c r="C581" s="26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4"/>
      <c r="B582" s="25"/>
      <c r="C582" s="26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4"/>
      <c r="B583" s="25"/>
      <c r="C583" s="26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4"/>
      <c r="B584" s="25"/>
      <c r="C584" s="26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4"/>
      <c r="B585" s="25"/>
      <c r="C585" s="26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4"/>
      <c r="B586" s="25"/>
      <c r="C586" s="26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4"/>
      <c r="B587" s="25"/>
      <c r="C587" s="26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4"/>
      <c r="B588" s="25"/>
      <c r="C588" s="26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4"/>
      <c r="B589" s="25"/>
      <c r="C589" s="26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4"/>
      <c r="B590" s="25"/>
      <c r="C590" s="26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4"/>
      <c r="B591" s="25"/>
      <c r="C591" s="26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4"/>
      <c r="B592" s="25"/>
      <c r="C592" s="26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4"/>
      <c r="B593" s="25"/>
      <c r="C593" s="26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4"/>
      <c r="B594" s="25"/>
      <c r="C594" s="26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4"/>
      <c r="B595" s="25"/>
      <c r="C595" s="26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4"/>
      <c r="B596" s="25"/>
      <c r="C596" s="26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4"/>
      <c r="B597" s="25"/>
      <c r="C597" s="26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4"/>
      <c r="B598" s="25"/>
      <c r="C598" s="26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4"/>
      <c r="B599" s="25"/>
      <c r="C599" s="26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4"/>
      <c r="B600" s="25"/>
      <c r="C600" s="26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4"/>
      <c r="B601" s="25"/>
      <c r="C601" s="26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4"/>
      <c r="B602" s="25"/>
      <c r="C602" s="26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4"/>
      <c r="B603" s="25"/>
      <c r="C603" s="26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4"/>
      <c r="B604" s="25"/>
      <c r="C604" s="26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4"/>
      <c r="B605" s="25"/>
      <c r="C605" s="26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4"/>
      <c r="B606" s="25"/>
      <c r="C606" s="26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4"/>
      <c r="B607" s="25"/>
      <c r="C607" s="26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4"/>
      <c r="B608" s="25"/>
      <c r="C608" s="26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4"/>
      <c r="B609" s="25"/>
      <c r="C609" s="26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4"/>
      <c r="B610" s="25"/>
      <c r="C610" s="26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4"/>
      <c r="B611" s="25"/>
      <c r="C611" s="26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4"/>
      <c r="B612" s="25"/>
      <c r="C612" s="26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4"/>
      <c r="B613" s="25"/>
      <c r="C613" s="26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4"/>
      <c r="B614" s="25"/>
      <c r="C614" s="26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4"/>
      <c r="B615" s="25"/>
      <c r="C615" s="26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4"/>
      <c r="B616" s="25"/>
      <c r="C616" s="26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4"/>
      <c r="B617" s="25"/>
      <c r="C617" s="26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4"/>
      <c r="B618" s="25"/>
      <c r="C618" s="26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4"/>
      <c r="B619" s="25"/>
      <c r="C619" s="26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4"/>
      <c r="B620" s="25"/>
      <c r="C620" s="26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4"/>
      <c r="B621" s="25"/>
      <c r="C621" s="26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4"/>
      <c r="B622" s="25"/>
      <c r="C622" s="26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4"/>
      <c r="B623" s="25"/>
      <c r="C623" s="26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4"/>
      <c r="B624" s="25"/>
      <c r="C624" s="26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4"/>
      <c r="B625" s="25"/>
      <c r="C625" s="26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4"/>
      <c r="B626" s="25"/>
      <c r="C626" s="26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4"/>
      <c r="B627" s="25"/>
      <c r="C627" s="26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4"/>
      <c r="B628" s="25"/>
      <c r="C628" s="26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4"/>
      <c r="B629" s="25"/>
      <c r="C629" s="26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4"/>
      <c r="B630" s="25"/>
      <c r="C630" s="26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4"/>
      <c r="B631" s="25"/>
      <c r="C631" s="26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4"/>
      <c r="B632" s="25"/>
      <c r="C632" s="26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4"/>
      <c r="B633" s="25"/>
      <c r="C633" s="26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4"/>
      <c r="B634" s="25"/>
      <c r="C634" s="26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4"/>
      <c r="B635" s="25"/>
      <c r="C635" s="26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4"/>
      <c r="B636" s="25"/>
      <c r="C636" s="26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4"/>
      <c r="B637" s="25"/>
      <c r="C637" s="26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4"/>
      <c r="B638" s="25"/>
      <c r="C638" s="26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4"/>
      <c r="B639" s="25"/>
      <c r="C639" s="26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4"/>
      <c r="B640" s="25"/>
      <c r="C640" s="26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4"/>
      <c r="B641" s="25"/>
      <c r="C641" s="26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4"/>
      <c r="B642" s="25"/>
      <c r="C642" s="26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4"/>
      <c r="B643" s="25"/>
      <c r="C643" s="26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4"/>
      <c r="B644" s="25"/>
      <c r="C644" s="26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4"/>
      <c r="B645" s="25"/>
      <c r="C645" s="26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4"/>
      <c r="B646" s="25"/>
      <c r="C646" s="26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4"/>
      <c r="B647" s="25"/>
      <c r="C647" s="26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4"/>
      <c r="B648" s="25"/>
      <c r="C648" s="26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4"/>
      <c r="B649" s="25"/>
      <c r="C649" s="26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4"/>
      <c r="B650" s="25"/>
      <c r="C650" s="26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4"/>
      <c r="B651" s="25"/>
      <c r="C651" s="26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4"/>
      <c r="B652" s="25"/>
      <c r="C652" s="26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4"/>
      <c r="B653" s="25"/>
      <c r="C653" s="26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4"/>
      <c r="B654" s="25"/>
      <c r="C654" s="26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4"/>
      <c r="B655" s="25"/>
      <c r="C655" s="26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4"/>
      <c r="B656" s="25"/>
      <c r="C656" s="26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4"/>
      <c r="B657" s="25"/>
      <c r="C657" s="26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4"/>
      <c r="B658" s="25"/>
      <c r="C658" s="26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4"/>
      <c r="B659" s="25"/>
      <c r="C659" s="26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4"/>
      <c r="B660" s="25"/>
      <c r="C660" s="26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4"/>
      <c r="B661" s="25"/>
      <c r="C661" s="26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4"/>
      <c r="B662" s="25"/>
      <c r="C662" s="26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4"/>
      <c r="B663" s="25"/>
      <c r="C663" s="26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4"/>
      <c r="B664" s="25"/>
      <c r="C664" s="26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4"/>
      <c r="B665" s="25"/>
      <c r="C665" s="26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4"/>
      <c r="B666" s="25"/>
      <c r="C666" s="26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4"/>
      <c r="B667" s="25"/>
      <c r="C667" s="26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4"/>
      <c r="B668" s="25"/>
      <c r="C668" s="26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4"/>
      <c r="B669" s="25"/>
      <c r="C669" s="26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4"/>
      <c r="B670" s="25"/>
      <c r="C670" s="26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4"/>
      <c r="B671" s="25"/>
      <c r="C671" s="26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4"/>
      <c r="B672" s="25"/>
      <c r="C672" s="26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4"/>
      <c r="B673" s="25"/>
      <c r="C673" s="26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4"/>
      <c r="B674" s="25"/>
      <c r="C674" s="26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4"/>
      <c r="B675" s="25"/>
      <c r="C675" s="26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4"/>
      <c r="B676" s="25"/>
      <c r="C676" s="26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4"/>
      <c r="B677" s="25"/>
      <c r="C677" s="26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4"/>
      <c r="B678" s="25"/>
      <c r="C678" s="26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4"/>
      <c r="B679" s="25"/>
      <c r="C679" s="26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4"/>
      <c r="B680" s="25"/>
      <c r="C680" s="26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4"/>
      <c r="B681" s="25"/>
      <c r="C681" s="26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4"/>
      <c r="B682" s="25"/>
      <c r="C682" s="26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4"/>
      <c r="B683" s="25"/>
      <c r="C683" s="26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4"/>
      <c r="B684" s="25"/>
      <c r="C684" s="26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4"/>
      <c r="B685" s="25"/>
      <c r="C685" s="26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4"/>
      <c r="B686" s="25"/>
      <c r="C686" s="26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4"/>
      <c r="B687" s="25"/>
      <c r="C687" s="26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4"/>
      <c r="B688" s="25"/>
      <c r="C688" s="26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4"/>
      <c r="B689" s="25"/>
      <c r="C689" s="26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4"/>
      <c r="B690" s="25"/>
      <c r="C690" s="26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4"/>
      <c r="B691" s="25"/>
      <c r="C691" s="26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4"/>
      <c r="B692" s="25"/>
      <c r="C692" s="26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4"/>
      <c r="B693" s="25"/>
      <c r="C693" s="26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4"/>
      <c r="B694" s="25"/>
      <c r="C694" s="26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4"/>
      <c r="B695" s="25"/>
      <c r="C695" s="26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4"/>
      <c r="B696" s="25"/>
      <c r="C696" s="26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4"/>
      <c r="B697" s="25"/>
      <c r="C697" s="26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4"/>
      <c r="B698" s="25"/>
      <c r="C698" s="26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4"/>
      <c r="B699" s="25"/>
      <c r="C699" s="26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4"/>
      <c r="B700" s="25"/>
      <c r="C700" s="26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4"/>
      <c r="B701" s="25"/>
      <c r="C701" s="26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4"/>
      <c r="B702" s="25"/>
      <c r="C702" s="26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4"/>
      <c r="B703" s="25"/>
      <c r="C703" s="26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4"/>
      <c r="B704" s="25"/>
      <c r="C704" s="26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4"/>
      <c r="B705" s="25"/>
      <c r="C705" s="26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4"/>
      <c r="B706" s="25"/>
      <c r="C706" s="26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4"/>
      <c r="B707" s="25"/>
      <c r="C707" s="26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4"/>
      <c r="B708" s="25"/>
      <c r="C708" s="26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4"/>
      <c r="B709" s="25"/>
      <c r="C709" s="26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4"/>
      <c r="B710" s="25"/>
      <c r="C710" s="26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4"/>
      <c r="B711" s="25"/>
      <c r="C711" s="26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4"/>
      <c r="B712" s="25"/>
      <c r="C712" s="26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4"/>
      <c r="B713" s="25"/>
      <c r="C713" s="26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4"/>
      <c r="B714" s="25"/>
      <c r="C714" s="26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4"/>
      <c r="B715" s="25"/>
      <c r="C715" s="26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4"/>
      <c r="B716" s="25"/>
      <c r="C716" s="26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4"/>
      <c r="B717" s="25"/>
      <c r="C717" s="26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4"/>
      <c r="B718" s="25"/>
      <c r="C718" s="26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4"/>
      <c r="B719" s="25"/>
      <c r="C719" s="26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4"/>
      <c r="B720" s="25"/>
      <c r="C720" s="26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4"/>
      <c r="B721" s="25"/>
      <c r="C721" s="26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4"/>
      <c r="B722" s="25"/>
      <c r="C722" s="26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4"/>
      <c r="B723" s="25"/>
      <c r="C723" s="26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4"/>
      <c r="B724" s="25"/>
      <c r="C724" s="26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4"/>
      <c r="B725" s="25"/>
      <c r="C725" s="26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4"/>
      <c r="B726" s="25"/>
      <c r="C726" s="26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4"/>
      <c r="B727" s="25"/>
      <c r="C727" s="26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4"/>
      <c r="B728" s="25"/>
      <c r="C728" s="26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4"/>
      <c r="B729" s="25"/>
      <c r="C729" s="26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4"/>
      <c r="B730" s="25"/>
      <c r="C730" s="26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4"/>
      <c r="B731" s="25"/>
      <c r="C731" s="26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4"/>
      <c r="B732" s="25"/>
      <c r="C732" s="26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4"/>
      <c r="B733" s="25"/>
      <c r="C733" s="26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4"/>
      <c r="B734" s="25"/>
      <c r="C734" s="26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4"/>
      <c r="B735" s="25"/>
      <c r="C735" s="26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4"/>
      <c r="B736" s="25"/>
      <c r="C736" s="26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4"/>
      <c r="B737" s="25"/>
      <c r="C737" s="26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4"/>
      <c r="B738" s="25"/>
      <c r="C738" s="26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4"/>
      <c r="B739" s="25"/>
      <c r="C739" s="26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4"/>
      <c r="B740" s="25"/>
      <c r="C740" s="26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4"/>
      <c r="B741" s="25"/>
      <c r="C741" s="26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4"/>
      <c r="B742" s="25"/>
      <c r="C742" s="26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4"/>
      <c r="B743" s="25"/>
      <c r="C743" s="26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4"/>
      <c r="B744" s="25"/>
      <c r="C744" s="26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4"/>
      <c r="B745" s="25"/>
      <c r="C745" s="26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4"/>
      <c r="B746" s="25"/>
      <c r="C746" s="26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4"/>
      <c r="B747" s="25"/>
      <c r="C747" s="26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4"/>
      <c r="B748" s="25"/>
      <c r="C748" s="26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4"/>
      <c r="B749" s="25"/>
      <c r="C749" s="26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4"/>
      <c r="B750" s="25"/>
      <c r="C750" s="26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4"/>
      <c r="B751" s="25"/>
      <c r="C751" s="26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4"/>
      <c r="B752" s="25"/>
      <c r="C752" s="26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4"/>
      <c r="B753" s="25"/>
      <c r="C753" s="26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4"/>
      <c r="B754" s="25"/>
      <c r="C754" s="26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4"/>
      <c r="B755" s="25"/>
      <c r="C755" s="26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4"/>
      <c r="B756" s="25"/>
      <c r="C756" s="26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4"/>
      <c r="B757" s="25"/>
      <c r="C757" s="26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4"/>
      <c r="B758" s="25"/>
      <c r="C758" s="26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4"/>
      <c r="B759" s="25"/>
      <c r="C759" s="26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4"/>
      <c r="B760" s="25"/>
      <c r="C760" s="26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4"/>
      <c r="B761" s="25"/>
      <c r="C761" s="26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4"/>
      <c r="B762" s="25"/>
      <c r="C762" s="26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4"/>
      <c r="B763" s="25"/>
      <c r="C763" s="26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4"/>
      <c r="B764" s="25"/>
      <c r="C764" s="26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4"/>
      <c r="B765" s="25"/>
      <c r="C765" s="26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4"/>
      <c r="B766" s="25"/>
      <c r="C766" s="26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4"/>
      <c r="B767" s="25"/>
      <c r="C767" s="26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4"/>
      <c r="B768" s="25"/>
      <c r="C768" s="26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4"/>
      <c r="B769" s="25"/>
      <c r="C769" s="26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4"/>
      <c r="B770" s="25"/>
      <c r="C770" s="26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4"/>
      <c r="B771" s="25"/>
      <c r="C771" s="26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4"/>
      <c r="B772" s="25"/>
      <c r="C772" s="26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4"/>
      <c r="B773" s="25"/>
      <c r="C773" s="26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4"/>
      <c r="B774" s="25"/>
      <c r="C774" s="26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4"/>
      <c r="B775" s="25"/>
      <c r="C775" s="26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4"/>
      <c r="B776" s="25"/>
      <c r="C776" s="26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4"/>
      <c r="B777" s="25"/>
      <c r="C777" s="26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4"/>
      <c r="B778" s="25"/>
      <c r="C778" s="26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4"/>
      <c r="B779" s="25"/>
      <c r="C779" s="26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4"/>
      <c r="B780" s="25"/>
      <c r="C780" s="26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4"/>
      <c r="B781" s="25"/>
      <c r="C781" s="26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4"/>
      <c r="B782" s="25"/>
      <c r="C782" s="26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4"/>
      <c r="B783" s="25"/>
      <c r="C783" s="26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4"/>
      <c r="B784" s="25"/>
      <c r="C784" s="26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4"/>
      <c r="B785" s="25"/>
      <c r="C785" s="26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4"/>
      <c r="B786" s="25"/>
      <c r="C786" s="26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4"/>
      <c r="B787" s="25"/>
      <c r="C787" s="26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4"/>
      <c r="B788" s="25"/>
      <c r="C788" s="26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4"/>
      <c r="B789" s="25"/>
      <c r="C789" s="26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4"/>
      <c r="B790" s="25"/>
      <c r="C790" s="26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4"/>
      <c r="B791" s="25"/>
      <c r="C791" s="26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4"/>
      <c r="B792" s="25"/>
      <c r="C792" s="26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4"/>
      <c r="B793" s="25"/>
      <c r="C793" s="26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4"/>
      <c r="B794" s="25"/>
      <c r="C794" s="26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4"/>
      <c r="B795" s="25"/>
      <c r="C795" s="26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4"/>
      <c r="B796" s="25"/>
      <c r="C796" s="26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4"/>
      <c r="B797" s="25"/>
      <c r="C797" s="26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4"/>
      <c r="B798" s="25"/>
      <c r="C798" s="26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4"/>
      <c r="B799" s="25"/>
      <c r="C799" s="26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4"/>
      <c r="B800" s="25"/>
      <c r="C800" s="26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4"/>
      <c r="B801" s="25"/>
      <c r="C801" s="26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4"/>
      <c r="B802" s="25"/>
      <c r="C802" s="26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4"/>
      <c r="B803" s="25"/>
      <c r="C803" s="26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4"/>
      <c r="B804" s="25"/>
      <c r="C804" s="26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4"/>
      <c r="B805" s="25"/>
      <c r="C805" s="26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4"/>
      <c r="B806" s="25"/>
      <c r="C806" s="26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4"/>
      <c r="B807" s="25"/>
      <c r="C807" s="26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4"/>
      <c r="B808" s="25"/>
      <c r="C808" s="26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4"/>
      <c r="B809" s="25"/>
      <c r="C809" s="26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4"/>
      <c r="B810" s="25"/>
      <c r="C810" s="26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4"/>
      <c r="B811" s="25"/>
      <c r="C811" s="26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4"/>
      <c r="B812" s="25"/>
      <c r="C812" s="26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4"/>
      <c r="B813" s="25"/>
      <c r="C813" s="26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4"/>
      <c r="B814" s="25"/>
      <c r="C814" s="26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4"/>
      <c r="B815" s="25"/>
      <c r="C815" s="26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4"/>
      <c r="B816" s="25"/>
      <c r="C816" s="26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4"/>
      <c r="B817" s="25"/>
      <c r="C817" s="26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4"/>
      <c r="B818" s="25"/>
      <c r="C818" s="26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4"/>
      <c r="B819" s="25"/>
      <c r="C819" s="26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4"/>
      <c r="B820" s="25"/>
      <c r="C820" s="26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4"/>
      <c r="B821" s="25"/>
      <c r="C821" s="26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4"/>
      <c r="B822" s="25"/>
      <c r="C822" s="26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4"/>
      <c r="B823" s="25"/>
      <c r="C823" s="26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4"/>
      <c r="B824" s="25"/>
      <c r="C824" s="26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4"/>
      <c r="B825" s="25"/>
      <c r="C825" s="26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4"/>
      <c r="B826" s="25"/>
      <c r="C826" s="26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4"/>
      <c r="B827" s="25"/>
      <c r="C827" s="26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4"/>
      <c r="B828" s="25"/>
      <c r="C828" s="26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4"/>
      <c r="B829" s="25"/>
      <c r="C829" s="26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4"/>
      <c r="B830" s="25"/>
      <c r="C830" s="26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4"/>
      <c r="B831" s="25"/>
      <c r="C831" s="26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4"/>
      <c r="B832" s="25"/>
      <c r="C832" s="26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4"/>
      <c r="B833" s="25"/>
      <c r="C833" s="26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4"/>
      <c r="B834" s="25"/>
      <c r="C834" s="26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4"/>
      <c r="B835" s="25"/>
      <c r="C835" s="26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4"/>
      <c r="B836" s="25"/>
      <c r="C836" s="26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4"/>
      <c r="B837" s="25"/>
      <c r="C837" s="26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4"/>
      <c r="B838" s="25"/>
      <c r="C838" s="26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4"/>
      <c r="B839" s="25"/>
      <c r="C839" s="26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4"/>
      <c r="B840" s="25"/>
      <c r="C840" s="26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4"/>
      <c r="B841" s="25"/>
      <c r="C841" s="26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4"/>
      <c r="B842" s="25"/>
      <c r="C842" s="26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4"/>
      <c r="B843" s="25"/>
      <c r="C843" s="26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4"/>
      <c r="B844" s="25"/>
      <c r="C844" s="26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4"/>
      <c r="B845" s="25"/>
      <c r="C845" s="26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4"/>
      <c r="B846" s="25"/>
      <c r="C846" s="26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4"/>
      <c r="B847" s="25"/>
      <c r="C847" s="26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4"/>
      <c r="B848" s="25"/>
      <c r="C848" s="26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4"/>
      <c r="B849" s="25"/>
      <c r="C849" s="26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4"/>
      <c r="B850" s="25"/>
      <c r="C850" s="26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4"/>
      <c r="B851" s="25"/>
      <c r="C851" s="26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4"/>
      <c r="B852" s="25"/>
      <c r="C852" s="26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4"/>
      <c r="B853" s="25"/>
      <c r="C853" s="26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4"/>
      <c r="B854" s="25"/>
      <c r="C854" s="26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4"/>
      <c r="B855" s="25"/>
      <c r="C855" s="26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4"/>
      <c r="B856" s="25"/>
      <c r="C856" s="26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4"/>
      <c r="B857" s="25"/>
      <c r="C857" s="26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4"/>
      <c r="B858" s="25"/>
      <c r="C858" s="26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4"/>
      <c r="B859" s="25"/>
      <c r="C859" s="26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4"/>
      <c r="B860" s="25"/>
      <c r="C860" s="26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4"/>
      <c r="B861" s="25"/>
      <c r="C861" s="26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4"/>
      <c r="B862" s="25"/>
      <c r="C862" s="26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4"/>
      <c r="B863" s="25"/>
      <c r="C863" s="26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4"/>
      <c r="B864" s="25"/>
      <c r="C864" s="26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4"/>
      <c r="B865" s="25"/>
      <c r="C865" s="26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4"/>
      <c r="B866" s="25"/>
      <c r="C866" s="26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4"/>
      <c r="B867" s="25"/>
      <c r="C867" s="26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4"/>
      <c r="B868" s="25"/>
      <c r="C868" s="26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4"/>
      <c r="B869" s="25"/>
      <c r="C869" s="26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4"/>
      <c r="B870" s="25"/>
      <c r="C870" s="26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4"/>
      <c r="B871" s="25"/>
      <c r="C871" s="26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4"/>
      <c r="B872" s="25"/>
      <c r="C872" s="26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4"/>
      <c r="B873" s="25"/>
      <c r="C873" s="26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4"/>
      <c r="B874" s="25"/>
      <c r="C874" s="26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4"/>
      <c r="B875" s="25"/>
      <c r="C875" s="26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4"/>
      <c r="B876" s="25"/>
      <c r="C876" s="26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4"/>
      <c r="B877" s="25"/>
      <c r="C877" s="26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4"/>
      <c r="B878" s="25"/>
      <c r="C878" s="26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4"/>
      <c r="B879" s="25"/>
      <c r="C879" s="26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4"/>
      <c r="B880" s="25"/>
      <c r="C880" s="26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4"/>
      <c r="B881" s="25"/>
      <c r="C881" s="26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4"/>
      <c r="B882" s="25"/>
      <c r="C882" s="26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4"/>
      <c r="B883" s="25"/>
      <c r="C883" s="26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4"/>
      <c r="B884" s="25"/>
      <c r="C884" s="26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4"/>
      <c r="B885" s="25"/>
      <c r="C885" s="26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4"/>
      <c r="B886" s="25"/>
      <c r="C886" s="26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4"/>
      <c r="B887" s="25"/>
      <c r="C887" s="26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4"/>
      <c r="B888" s="25"/>
      <c r="C888" s="26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4"/>
      <c r="B889" s="25"/>
      <c r="C889" s="26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4"/>
      <c r="B890" s="25"/>
      <c r="C890" s="26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4"/>
      <c r="B891" s="25"/>
      <c r="C891" s="26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4"/>
      <c r="B892" s="25"/>
      <c r="C892" s="26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4"/>
      <c r="B893" s="25"/>
      <c r="C893" s="26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4"/>
      <c r="B894" s="25"/>
      <c r="C894" s="26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4"/>
      <c r="B895" s="25"/>
      <c r="C895" s="26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4"/>
      <c r="B896" s="25"/>
      <c r="C896" s="26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4"/>
      <c r="B897" s="25"/>
      <c r="C897" s="26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4"/>
      <c r="B898" s="25"/>
      <c r="C898" s="26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4"/>
      <c r="B899" s="25"/>
      <c r="C899" s="26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4"/>
      <c r="B900" s="25"/>
      <c r="C900" s="26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4"/>
      <c r="B901" s="25"/>
      <c r="C901" s="26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4"/>
      <c r="B902" s="25"/>
      <c r="C902" s="26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4"/>
      <c r="B903" s="25"/>
      <c r="C903" s="26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4"/>
      <c r="B904" s="25"/>
      <c r="C904" s="26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4"/>
      <c r="B905" s="25"/>
      <c r="C905" s="26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4"/>
      <c r="B906" s="25"/>
      <c r="C906" s="26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4"/>
      <c r="B907" s="25"/>
      <c r="C907" s="26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4"/>
      <c r="B908" s="25"/>
      <c r="C908" s="26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4"/>
      <c r="B909" s="25"/>
      <c r="C909" s="26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4"/>
      <c r="B910" s="25"/>
      <c r="C910" s="26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4"/>
      <c r="B911" s="25"/>
      <c r="C911" s="26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4"/>
      <c r="B912" s="25"/>
      <c r="C912" s="26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4"/>
      <c r="B913" s="25"/>
      <c r="C913" s="26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4"/>
      <c r="B914" s="25"/>
      <c r="C914" s="26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4"/>
      <c r="B915" s="25"/>
      <c r="C915" s="26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4"/>
      <c r="B916" s="25"/>
      <c r="C916" s="26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4"/>
      <c r="B917" s="25"/>
      <c r="C917" s="26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4"/>
      <c r="B918" s="25"/>
      <c r="C918" s="26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4"/>
      <c r="B919" s="25"/>
      <c r="C919" s="26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4"/>
      <c r="B920" s="25"/>
      <c r="C920" s="26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4"/>
      <c r="B921" s="25"/>
      <c r="C921" s="26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4"/>
      <c r="B922" s="25"/>
      <c r="C922" s="26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4"/>
      <c r="B923" s="25"/>
      <c r="C923" s="26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4"/>
      <c r="B924" s="25"/>
      <c r="C924" s="26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4"/>
      <c r="B925" s="25"/>
      <c r="C925" s="26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4"/>
      <c r="B926" s="25"/>
      <c r="C926" s="26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4"/>
      <c r="B927" s="25"/>
      <c r="C927" s="26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4"/>
      <c r="B928" s="25"/>
      <c r="C928" s="26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4"/>
      <c r="B929" s="25"/>
      <c r="C929" s="26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4"/>
      <c r="B930" s="25"/>
      <c r="C930" s="26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4"/>
      <c r="B931" s="25"/>
      <c r="C931" s="26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4"/>
      <c r="B932" s="25"/>
      <c r="C932" s="26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4"/>
      <c r="B933" s="25"/>
      <c r="C933" s="26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4"/>
      <c r="B934" s="25"/>
      <c r="C934" s="26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4"/>
      <c r="B935" s="25"/>
      <c r="C935" s="26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4"/>
      <c r="B936" s="25"/>
      <c r="C936" s="26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4"/>
      <c r="B937" s="25"/>
      <c r="C937" s="26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4"/>
      <c r="B938" s="25"/>
      <c r="C938" s="26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4"/>
      <c r="B939" s="25"/>
      <c r="C939" s="26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4"/>
      <c r="B940" s="25"/>
      <c r="C940" s="26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4"/>
      <c r="B941" s="25"/>
      <c r="C941" s="26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4"/>
      <c r="B942" s="25"/>
      <c r="C942" s="26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4"/>
      <c r="B943" s="25"/>
      <c r="C943" s="26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4"/>
      <c r="B944" s="25"/>
      <c r="C944" s="26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</sheetData>
  <mergeCells count="1072">
    <mergeCell ref="S10:T10"/>
    <mergeCell ref="U10:V10"/>
    <mergeCell ref="E10:F10"/>
    <mergeCell ref="G10:H10"/>
    <mergeCell ref="I10:J10"/>
    <mergeCell ref="K10:L10"/>
    <mergeCell ref="M10:N10"/>
    <mergeCell ref="O10:P10"/>
    <mergeCell ref="Q10:R10"/>
    <mergeCell ref="E5:F5"/>
    <mergeCell ref="G5:H5"/>
    <mergeCell ref="G6:H6"/>
    <mergeCell ref="M5:N5"/>
    <mergeCell ref="O5:P5"/>
    <mergeCell ref="M6:N6"/>
    <mergeCell ref="O6:P6"/>
    <mergeCell ref="Q5:R5"/>
    <mergeCell ref="S5:T5"/>
    <mergeCell ref="Q6:R6"/>
    <mergeCell ref="S6:T6"/>
    <mergeCell ref="U5:V5"/>
    <mergeCell ref="W5:X5"/>
    <mergeCell ref="U6:V6"/>
    <mergeCell ref="W6:X6"/>
    <mergeCell ref="Y6:Z6"/>
    <mergeCell ref="A1:A4"/>
    <mergeCell ref="B1:B4"/>
    <mergeCell ref="C1:Z1"/>
    <mergeCell ref="C2:Z2"/>
    <mergeCell ref="C3:Z3"/>
    <mergeCell ref="C4:Z4"/>
    <mergeCell ref="Y5:Z5"/>
    <mergeCell ref="O9:P9"/>
    <mergeCell ref="Q9:R9"/>
    <mergeCell ref="S9:T9"/>
    <mergeCell ref="U9:V9"/>
    <mergeCell ref="W9:X9"/>
    <mergeCell ref="Y9:Z9"/>
    <mergeCell ref="W10:X10"/>
    <mergeCell ref="Y10:Z10"/>
    <mergeCell ref="B5:B8"/>
    <mergeCell ref="C5:D5"/>
    <mergeCell ref="C6:D6"/>
    <mergeCell ref="A9:A11"/>
    <mergeCell ref="B9:B11"/>
    <mergeCell ref="C9:D9"/>
    <mergeCell ref="C10:D10"/>
    <mergeCell ref="A12:A15"/>
    <mergeCell ref="B12:B15"/>
    <mergeCell ref="C12:D12"/>
    <mergeCell ref="E12:F12"/>
    <mergeCell ref="I12:J12"/>
    <mergeCell ref="K12:L12"/>
    <mergeCell ref="K13:L13"/>
    <mergeCell ref="G12:H12"/>
    <mergeCell ref="G16:H16"/>
    <mergeCell ref="I16:J16"/>
    <mergeCell ref="K16:L16"/>
    <mergeCell ref="M16:N16"/>
    <mergeCell ref="O16:P16"/>
    <mergeCell ref="Q16:R16"/>
    <mergeCell ref="S17:T17"/>
    <mergeCell ref="U17:V17"/>
    <mergeCell ref="E17:F17"/>
    <mergeCell ref="G17:H17"/>
    <mergeCell ref="I17:J17"/>
    <mergeCell ref="K17:L17"/>
    <mergeCell ref="M17:N17"/>
    <mergeCell ref="O17:P17"/>
    <mergeCell ref="Q17:R17"/>
    <mergeCell ref="C20:D20"/>
    <mergeCell ref="E20:F20"/>
    <mergeCell ref="K20:L20"/>
    <mergeCell ref="M20:N20"/>
    <mergeCell ref="Q20:R20"/>
    <mergeCell ref="S20:T20"/>
    <mergeCell ref="U20:V20"/>
    <mergeCell ref="W20:X20"/>
    <mergeCell ref="Y20:Z20"/>
    <mergeCell ref="A19:A22"/>
    <mergeCell ref="B19:B22"/>
    <mergeCell ref="G19:H19"/>
    <mergeCell ref="I19:J19"/>
    <mergeCell ref="K19:L19"/>
    <mergeCell ref="M19:N19"/>
    <mergeCell ref="O19:P19"/>
    <mergeCell ref="O20:P20"/>
    <mergeCell ref="Q23:R23"/>
    <mergeCell ref="S23:T23"/>
    <mergeCell ref="U23:V23"/>
    <mergeCell ref="W23:X23"/>
    <mergeCell ref="Y23:Z23"/>
    <mergeCell ref="G20:H20"/>
    <mergeCell ref="I20:J20"/>
    <mergeCell ref="G23:H23"/>
    <mergeCell ref="I23:J23"/>
    <mergeCell ref="K23:L23"/>
    <mergeCell ref="M23:N23"/>
    <mergeCell ref="O23:P23"/>
    <mergeCell ref="U24:V24"/>
    <mergeCell ref="W24:X24"/>
    <mergeCell ref="Y24:Z24"/>
    <mergeCell ref="G24:H24"/>
    <mergeCell ref="I24:J24"/>
    <mergeCell ref="K24:L24"/>
    <mergeCell ref="M24:N24"/>
    <mergeCell ref="O24:P24"/>
    <mergeCell ref="Q24:R24"/>
    <mergeCell ref="S24:T24"/>
    <mergeCell ref="U31:V31"/>
    <mergeCell ref="W31:X31"/>
    <mergeCell ref="G31:H31"/>
    <mergeCell ref="I31:J31"/>
    <mergeCell ref="K31:L31"/>
    <mergeCell ref="M31:N31"/>
    <mergeCell ref="O31:P31"/>
    <mergeCell ref="Q31:R31"/>
    <mergeCell ref="S31:T31"/>
    <mergeCell ref="Q32:R32"/>
    <mergeCell ref="S32:T32"/>
    <mergeCell ref="C32:D32"/>
    <mergeCell ref="E32:F32"/>
    <mergeCell ref="G32:H32"/>
    <mergeCell ref="I32:J32"/>
    <mergeCell ref="K32:L32"/>
    <mergeCell ref="M32:N32"/>
    <mergeCell ref="O32:P32"/>
    <mergeCell ref="C40:D40"/>
    <mergeCell ref="C43:D43"/>
    <mergeCell ref="A39:A42"/>
    <mergeCell ref="B39:B42"/>
    <mergeCell ref="C39:D39"/>
    <mergeCell ref="E39:F39"/>
    <mergeCell ref="E40:F40"/>
    <mergeCell ref="A43:A46"/>
    <mergeCell ref="B43:B46"/>
    <mergeCell ref="S53:T53"/>
    <mergeCell ref="U53:V53"/>
    <mergeCell ref="W53:X53"/>
    <mergeCell ref="Y53:Z53"/>
    <mergeCell ref="E53:F53"/>
    <mergeCell ref="G53:H53"/>
    <mergeCell ref="I53:J53"/>
    <mergeCell ref="K53:L53"/>
    <mergeCell ref="M53:N53"/>
    <mergeCell ref="O53:P53"/>
    <mergeCell ref="Q53:R53"/>
    <mergeCell ref="Q54:R54"/>
    <mergeCell ref="S54:T54"/>
    <mergeCell ref="U54:V54"/>
    <mergeCell ref="W54:X54"/>
    <mergeCell ref="Y54:Z54"/>
    <mergeCell ref="C54:D54"/>
    <mergeCell ref="E54:F54"/>
    <mergeCell ref="G54:H54"/>
    <mergeCell ref="I54:J54"/>
    <mergeCell ref="K54:L54"/>
    <mergeCell ref="M54:N54"/>
    <mergeCell ref="O54:P54"/>
    <mergeCell ref="M56:N56"/>
    <mergeCell ref="O56:P56"/>
    <mergeCell ref="Q56:R56"/>
    <mergeCell ref="S56:T56"/>
    <mergeCell ref="U56:V56"/>
    <mergeCell ref="W56:X56"/>
    <mergeCell ref="Y56:Z56"/>
    <mergeCell ref="C51:D51"/>
    <mergeCell ref="C53:D53"/>
    <mergeCell ref="A50:A52"/>
    <mergeCell ref="B50:B52"/>
    <mergeCell ref="C50:D50"/>
    <mergeCell ref="E50:F50"/>
    <mergeCell ref="E51:F51"/>
    <mergeCell ref="A53:A55"/>
    <mergeCell ref="B53:B55"/>
    <mergeCell ref="Q63:R63"/>
    <mergeCell ref="S63:T63"/>
    <mergeCell ref="U63:V63"/>
    <mergeCell ref="W63:X63"/>
    <mergeCell ref="Y63:Z63"/>
    <mergeCell ref="A59:A62"/>
    <mergeCell ref="B59:B62"/>
    <mergeCell ref="C59:D59"/>
    <mergeCell ref="E59:F59"/>
    <mergeCell ref="C60:D60"/>
    <mergeCell ref="E60:F60"/>
    <mergeCell ref="A63:A65"/>
    <mergeCell ref="E64:F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I5:J5"/>
    <mergeCell ref="K5:L5"/>
    <mergeCell ref="I6:J6"/>
    <mergeCell ref="K6:L6"/>
    <mergeCell ref="A5:A8"/>
    <mergeCell ref="E6:F6"/>
    <mergeCell ref="E9:F9"/>
    <mergeCell ref="G9:H9"/>
    <mergeCell ref="I9:J9"/>
    <mergeCell ref="K9:L9"/>
    <mergeCell ref="M9:N9"/>
    <mergeCell ref="M12:N12"/>
    <mergeCell ref="O12:P12"/>
    <mergeCell ref="Q12:R12"/>
    <mergeCell ref="S12:T12"/>
    <mergeCell ref="U12:V12"/>
    <mergeCell ref="W12:X12"/>
    <mergeCell ref="Y12:Z12"/>
    <mergeCell ref="W13:X13"/>
    <mergeCell ref="Y13:Z13"/>
    <mergeCell ref="G13:H13"/>
    <mergeCell ref="I13:J13"/>
    <mergeCell ref="M13:N13"/>
    <mergeCell ref="O13:P13"/>
    <mergeCell ref="Q13:R13"/>
    <mergeCell ref="S13:T13"/>
    <mergeCell ref="U13:V13"/>
    <mergeCell ref="S16:T16"/>
    <mergeCell ref="U16:V16"/>
    <mergeCell ref="W16:X16"/>
    <mergeCell ref="Y16:Z16"/>
    <mergeCell ref="W17:X17"/>
    <mergeCell ref="Y17:Z17"/>
    <mergeCell ref="Q19:R19"/>
    <mergeCell ref="S19:T19"/>
    <mergeCell ref="U19:V19"/>
    <mergeCell ref="W19:X19"/>
    <mergeCell ref="Y19:Z19"/>
    <mergeCell ref="C36:D36"/>
    <mergeCell ref="E36:F36"/>
    <mergeCell ref="W36:X36"/>
    <mergeCell ref="Y36:Z36"/>
    <mergeCell ref="G36:H36"/>
    <mergeCell ref="I36:J36"/>
    <mergeCell ref="M36:N36"/>
    <mergeCell ref="O36:P36"/>
    <mergeCell ref="Q36:R36"/>
    <mergeCell ref="S36:T36"/>
    <mergeCell ref="U36:V36"/>
    <mergeCell ref="A35:A38"/>
    <mergeCell ref="B35:B38"/>
    <mergeCell ref="C35:D35"/>
    <mergeCell ref="E35:F35"/>
    <mergeCell ref="I35:J35"/>
    <mergeCell ref="K35:L35"/>
    <mergeCell ref="K36:L36"/>
    <mergeCell ref="S39:T39"/>
    <mergeCell ref="U39:V39"/>
    <mergeCell ref="W39:X39"/>
    <mergeCell ref="Y39:Z39"/>
    <mergeCell ref="G35:H35"/>
    <mergeCell ref="G39:H39"/>
    <mergeCell ref="I39:J39"/>
    <mergeCell ref="K39:L39"/>
    <mergeCell ref="M39:N39"/>
    <mergeCell ref="O39:P39"/>
    <mergeCell ref="Q39:R39"/>
    <mergeCell ref="U40:V40"/>
    <mergeCell ref="W40:X40"/>
    <mergeCell ref="Y40:Z40"/>
    <mergeCell ref="G40:H40"/>
    <mergeCell ref="I40:J40"/>
    <mergeCell ref="K40:L40"/>
    <mergeCell ref="M40:N40"/>
    <mergeCell ref="O40:P40"/>
    <mergeCell ref="Q40:R40"/>
    <mergeCell ref="S40:T40"/>
    <mergeCell ref="C13:D13"/>
    <mergeCell ref="E13:F13"/>
    <mergeCell ref="A16:A18"/>
    <mergeCell ref="B16:B18"/>
    <mergeCell ref="C16:D16"/>
    <mergeCell ref="E16:F16"/>
    <mergeCell ref="C17:D17"/>
    <mergeCell ref="Q27:R27"/>
    <mergeCell ref="S27:T27"/>
    <mergeCell ref="U27:V27"/>
    <mergeCell ref="W27:X27"/>
    <mergeCell ref="Y27:Z27"/>
    <mergeCell ref="C27:D27"/>
    <mergeCell ref="E27:F27"/>
    <mergeCell ref="G27:H27"/>
    <mergeCell ref="I27:J27"/>
    <mergeCell ref="K27:L27"/>
    <mergeCell ref="M27:N27"/>
    <mergeCell ref="O27:P27"/>
    <mergeCell ref="C28:D28"/>
    <mergeCell ref="E28:F28"/>
    <mergeCell ref="G28:H28"/>
    <mergeCell ref="I28:J28"/>
    <mergeCell ref="K28:L28"/>
    <mergeCell ref="M28:N28"/>
    <mergeCell ref="O28:P28"/>
    <mergeCell ref="W32:X32"/>
    <mergeCell ref="Y32:Z32"/>
    <mergeCell ref="Q28:R28"/>
    <mergeCell ref="S28:T28"/>
    <mergeCell ref="U28:V28"/>
    <mergeCell ref="W28:X28"/>
    <mergeCell ref="Y28:Z28"/>
    <mergeCell ref="Y31:Z31"/>
    <mergeCell ref="U32:V32"/>
    <mergeCell ref="M35:N35"/>
    <mergeCell ref="O35:P35"/>
    <mergeCell ref="Q35:R35"/>
    <mergeCell ref="S35:T35"/>
    <mergeCell ref="U35:V35"/>
    <mergeCell ref="W35:X35"/>
    <mergeCell ref="Y35:Z35"/>
    <mergeCell ref="C48:D48"/>
    <mergeCell ref="E48:F48"/>
    <mergeCell ref="W48:X48"/>
    <mergeCell ref="Y48:Z48"/>
    <mergeCell ref="G48:H48"/>
    <mergeCell ref="I48:J48"/>
    <mergeCell ref="M48:N48"/>
    <mergeCell ref="O48:P48"/>
    <mergeCell ref="Q48:R48"/>
    <mergeCell ref="S48:T48"/>
    <mergeCell ref="U48:V48"/>
    <mergeCell ref="A47:A49"/>
    <mergeCell ref="B47:B49"/>
    <mergeCell ref="C47:D47"/>
    <mergeCell ref="E47:F47"/>
    <mergeCell ref="I47:J47"/>
    <mergeCell ref="K47:L47"/>
    <mergeCell ref="K48:L48"/>
    <mergeCell ref="S50:T50"/>
    <mergeCell ref="U50:V50"/>
    <mergeCell ref="W50:X50"/>
    <mergeCell ref="Y50:Z50"/>
    <mergeCell ref="G47:H47"/>
    <mergeCell ref="G50:H50"/>
    <mergeCell ref="I50:J50"/>
    <mergeCell ref="K50:L50"/>
    <mergeCell ref="M50:N50"/>
    <mergeCell ref="O50:P50"/>
    <mergeCell ref="Q50:R50"/>
    <mergeCell ref="U51:V51"/>
    <mergeCell ref="W51:X51"/>
    <mergeCell ref="Y51:Z51"/>
    <mergeCell ref="G51:H51"/>
    <mergeCell ref="I51:J51"/>
    <mergeCell ref="K51:L51"/>
    <mergeCell ref="M51:N51"/>
    <mergeCell ref="O51:P51"/>
    <mergeCell ref="Q51:R51"/>
    <mergeCell ref="S51:T51"/>
    <mergeCell ref="C19:D19"/>
    <mergeCell ref="E19:F19"/>
    <mergeCell ref="B23:B26"/>
    <mergeCell ref="C23:D23"/>
    <mergeCell ref="E23:F23"/>
    <mergeCell ref="C24:D24"/>
    <mergeCell ref="E24:F24"/>
    <mergeCell ref="A23:A26"/>
    <mergeCell ref="A27:A30"/>
    <mergeCell ref="B27:B30"/>
    <mergeCell ref="A31:A34"/>
    <mergeCell ref="B31:B34"/>
    <mergeCell ref="C31:D31"/>
    <mergeCell ref="E31:F31"/>
    <mergeCell ref="S43:T43"/>
    <mergeCell ref="U43:V43"/>
    <mergeCell ref="W43:X43"/>
    <mergeCell ref="Y43:Z43"/>
    <mergeCell ref="E43:F43"/>
    <mergeCell ref="G43:H43"/>
    <mergeCell ref="I43:J43"/>
    <mergeCell ref="K43:L43"/>
    <mergeCell ref="M43:N43"/>
    <mergeCell ref="O43:P43"/>
    <mergeCell ref="Q43:R43"/>
    <mergeCell ref="Q44:R44"/>
    <mergeCell ref="S44:T44"/>
    <mergeCell ref="U44:V44"/>
    <mergeCell ref="W44:X44"/>
    <mergeCell ref="Y44:Z44"/>
    <mergeCell ref="C44:D44"/>
    <mergeCell ref="E44:F44"/>
    <mergeCell ref="G44:H44"/>
    <mergeCell ref="I44:J44"/>
    <mergeCell ref="K44:L44"/>
    <mergeCell ref="M44:N44"/>
    <mergeCell ref="O44:P44"/>
    <mergeCell ref="M47:N47"/>
    <mergeCell ref="O47:P47"/>
    <mergeCell ref="Q47:R47"/>
    <mergeCell ref="S47:T47"/>
    <mergeCell ref="U47:V47"/>
    <mergeCell ref="W47:X47"/>
    <mergeCell ref="Y47:Z47"/>
    <mergeCell ref="C57:D57"/>
    <mergeCell ref="E57:F57"/>
    <mergeCell ref="W57:X57"/>
    <mergeCell ref="Y57:Z57"/>
    <mergeCell ref="G57:H57"/>
    <mergeCell ref="I57:J57"/>
    <mergeCell ref="M57:N57"/>
    <mergeCell ref="O57:P57"/>
    <mergeCell ref="Q57:R57"/>
    <mergeCell ref="S57:T57"/>
    <mergeCell ref="U57:V57"/>
    <mergeCell ref="A56:A58"/>
    <mergeCell ref="B56:B58"/>
    <mergeCell ref="C56:D56"/>
    <mergeCell ref="E56:F56"/>
    <mergeCell ref="I56:J56"/>
    <mergeCell ref="K56:L56"/>
    <mergeCell ref="K57:L57"/>
    <mergeCell ref="S59:T59"/>
    <mergeCell ref="U59:V59"/>
    <mergeCell ref="W59:X59"/>
    <mergeCell ref="Y59:Z59"/>
    <mergeCell ref="G56:H56"/>
    <mergeCell ref="G59:H59"/>
    <mergeCell ref="I59:J59"/>
    <mergeCell ref="K59:L59"/>
    <mergeCell ref="M59:N59"/>
    <mergeCell ref="O59:P59"/>
    <mergeCell ref="Q59:R59"/>
    <mergeCell ref="U60:V60"/>
    <mergeCell ref="W60:X60"/>
    <mergeCell ref="Y60:Z60"/>
    <mergeCell ref="G60:H60"/>
    <mergeCell ref="I60:J60"/>
    <mergeCell ref="K60:L60"/>
    <mergeCell ref="M60:N60"/>
    <mergeCell ref="O60:P60"/>
    <mergeCell ref="Q60:R60"/>
    <mergeCell ref="S60:T60"/>
    <mergeCell ref="Q69:R69"/>
    <mergeCell ref="S69:T69"/>
    <mergeCell ref="C69:D69"/>
    <mergeCell ref="E69:F69"/>
    <mergeCell ref="G69:H69"/>
    <mergeCell ref="I69:J69"/>
    <mergeCell ref="K69:L69"/>
    <mergeCell ref="M69:N69"/>
    <mergeCell ref="O69:P69"/>
    <mergeCell ref="A91:A94"/>
    <mergeCell ref="B91:B94"/>
    <mergeCell ref="C91:D91"/>
    <mergeCell ref="E91:F91"/>
    <mergeCell ref="I91:J91"/>
    <mergeCell ref="K91:L91"/>
    <mergeCell ref="K92:L92"/>
    <mergeCell ref="C92:D92"/>
    <mergeCell ref="E92:F92"/>
    <mergeCell ref="B95:B98"/>
    <mergeCell ref="C95:D95"/>
    <mergeCell ref="E95:F95"/>
    <mergeCell ref="C96:D96"/>
    <mergeCell ref="E96:F96"/>
    <mergeCell ref="W92:X92"/>
    <mergeCell ref="Y92:Z92"/>
    <mergeCell ref="G92:H92"/>
    <mergeCell ref="I92:J92"/>
    <mergeCell ref="M92:N92"/>
    <mergeCell ref="O92:P92"/>
    <mergeCell ref="Q92:R92"/>
    <mergeCell ref="S92:T92"/>
    <mergeCell ref="U92:V92"/>
    <mergeCell ref="S95:T95"/>
    <mergeCell ref="U95:V95"/>
    <mergeCell ref="W95:X95"/>
    <mergeCell ref="Y95:Z95"/>
    <mergeCell ref="G91:H91"/>
    <mergeCell ref="G95:H95"/>
    <mergeCell ref="I95:J95"/>
    <mergeCell ref="K95:L95"/>
    <mergeCell ref="M95:N95"/>
    <mergeCell ref="O95:P95"/>
    <mergeCell ref="Q95:R95"/>
    <mergeCell ref="U96:V96"/>
    <mergeCell ref="W96:X96"/>
    <mergeCell ref="Y96:Z96"/>
    <mergeCell ref="G96:H96"/>
    <mergeCell ref="I96:J96"/>
    <mergeCell ref="K96:L96"/>
    <mergeCell ref="M96:N96"/>
    <mergeCell ref="O96:P96"/>
    <mergeCell ref="Q96:R96"/>
    <mergeCell ref="S96:T96"/>
    <mergeCell ref="K99:L99"/>
    <mergeCell ref="M99:N99"/>
    <mergeCell ref="O99:P99"/>
    <mergeCell ref="Q99:R99"/>
    <mergeCell ref="S99:T99"/>
    <mergeCell ref="U99:V99"/>
    <mergeCell ref="W99:X99"/>
    <mergeCell ref="Y99:Z99"/>
    <mergeCell ref="C73:D73"/>
    <mergeCell ref="E73:F73"/>
    <mergeCell ref="W73:X73"/>
    <mergeCell ref="Y73:Z73"/>
    <mergeCell ref="G73:H73"/>
    <mergeCell ref="I73:J73"/>
    <mergeCell ref="M73:N73"/>
    <mergeCell ref="O73:P73"/>
    <mergeCell ref="Q73:R73"/>
    <mergeCell ref="S73:T73"/>
    <mergeCell ref="U73:V73"/>
    <mergeCell ref="A72:A74"/>
    <mergeCell ref="B72:B74"/>
    <mergeCell ref="C72:D72"/>
    <mergeCell ref="E72:F72"/>
    <mergeCell ref="G72:H72"/>
    <mergeCell ref="I72:J72"/>
    <mergeCell ref="K72:L72"/>
    <mergeCell ref="W75:X75"/>
    <mergeCell ref="Y75:Z75"/>
    <mergeCell ref="K76:L76"/>
    <mergeCell ref="M76:N76"/>
    <mergeCell ref="O76:P76"/>
    <mergeCell ref="Q76:R76"/>
    <mergeCell ref="S76:T76"/>
    <mergeCell ref="U76:V76"/>
    <mergeCell ref="W76:X76"/>
    <mergeCell ref="Y76:Z76"/>
    <mergeCell ref="K73:L73"/>
    <mergeCell ref="K75:L75"/>
    <mergeCell ref="M75:N75"/>
    <mergeCell ref="O75:P75"/>
    <mergeCell ref="Q75:R75"/>
    <mergeCell ref="S75:T75"/>
    <mergeCell ref="U75:V75"/>
    <mergeCell ref="B63:B65"/>
    <mergeCell ref="C63:D63"/>
    <mergeCell ref="G63:H63"/>
    <mergeCell ref="I63:J63"/>
    <mergeCell ref="K63:L63"/>
    <mergeCell ref="M63:N63"/>
    <mergeCell ref="O63:P63"/>
    <mergeCell ref="W66:X66"/>
    <mergeCell ref="Y66:Z66"/>
    <mergeCell ref="I66:J66"/>
    <mergeCell ref="K66:L66"/>
    <mergeCell ref="M66:N66"/>
    <mergeCell ref="O66:P66"/>
    <mergeCell ref="Q66:R66"/>
    <mergeCell ref="S66:T66"/>
    <mergeCell ref="U66:V66"/>
    <mergeCell ref="S67:T67"/>
    <mergeCell ref="U67:V67"/>
    <mergeCell ref="W67:X67"/>
    <mergeCell ref="Y67:Z67"/>
    <mergeCell ref="U69:V69"/>
    <mergeCell ref="W69:X69"/>
    <mergeCell ref="Y69:Z69"/>
    <mergeCell ref="C67:D67"/>
    <mergeCell ref="E67:F67"/>
    <mergeCell ref="I67:J67"/>
    <mergeCell ref="K67:L67"/>
    <mergeCell ref="M67:N67"/>
    <mergeCell ref="O67:P67"/>
    <mergeCell ref="Q67:R67"/>
    <mergeCell ref="K70:L70"/>
    <mergeCell ref="M70:N70"/>
    <mergeCell ref="O70:P70"/>
    <mergeCell ref="Q70:R70"/>
    <mergeCell ref="S70:T70"/>
    <mergeCell ref="U70:V70"/>
    <mergeCell ref="W70:X70"/>
    <mergeCell ref="Y70:Z70"/>
    <mergeCell ref="M72:N72"/>
    <mergeCell ref="O72:P72"/>
    <mergeCell ref="Q72:R72"/>
    <mergeCell ref="S72:T72"/>
    <mergeCell ref="U72:V72"/>
    <mergeCell ref="W72:X72"/>
    <mergeCell ref="Y72:Z72"/>
    <mergeCell ref="Q80:R80"/>
    <mergeCell ref="S80:T80"/>
    <mergeCell ref="C80:D80"/>
    <mergeCell ref="E80:F80"/>
    <mergeCell ref="G80:H80"/>
    <mergeCell ref="I80:J80"/>
    <mergeCell ref="K80:L80"/>
    <mergeCell ref="M80:N80"/>
    <mergeCell ref="O80:P80"/>
    <mergeCell ref="U83:V83"/>
    <mergeCell ref="W83:X83"/>
    <mergeCell ref="G83:H83"/>
    <mergeCell ref="I83:J83"/>
    <mergeCell ref="K83:L83"/>
    <mergeCell ref="M83:N83"/>
    <mergeCell ref="O83:P83"/>
    <mergeCell ref="Q83:R83"/>
    <mergeCell ref="S83:T83"/>
    <mergeCell ref="U84:V84"/>
    <mergeCell ref="W84:X84"/>
    <mergeCell ref="Y84:Z84"/>
    <mergeCell ref="G84:H84"/>
    <mergeCell ref="I84:J84"/>
    <mergeCell ref="K84:L84"/>
    <mergeCell ref="M84:N84"/>
    <mergeCell ref="O84:P84"/>
    <mergeCell ref="Q84:R84"/>
    <mergeCell ref="S84:T84"/>
    <mergeCell ref="E63:F63"/>
    <mergeCell ref="C64:D64"/>
    <mergeCell ref="B66:B68"/>
    <mergeCell ref="C66:D66"/>
    <mergeCell ref="E66:F66"/>
    <mergeCell ref="G66:H66"/>
    <mergeCell ref="G67:H67"/>
    <mergeCell ref="A66:A68"/>
    <mergeCell ref="A69:A71"/>
    <mergeCell ref="B69:B71"/>
    <mergeCell ref="C70:D70"/>
    <mergeCell ref="E70:F70"/>
    <mergeCell ref="G70:H70"/>
    <mergeCell ref="I70:J70"/>
    <mergeCell ref="E76:F76"/>
    <mergeCell ref="G76:H76"/>
    <mergeCell ref="B75:B78"/>
    <mergeCell ref="C75:D75"/>
    <mergeCell ref="E75:F75"/>
    <mergeCell ref="G75:H75"/>
    <mergeCell ref="I75:J75"/>
    <mergeCell ref="C76:D76"/>
    <mergeCell ref="I76:J76"/>
    <mergeCell ref="C79:D79"/>
    <mergeCell ref="E79:F79"/>
    <mergeCell ref="G79:H79"/>
    <mergeCell ref="I79:J79"/>
    <mergeCell ref="K79:L79"/>
    <mergeCell ref="M79:N79"/>
    <mergeCell ref="O79:P79"/>
    <mergeCell ref="Y80:Z80"/>
    <mergeCell ref="Y83:Z83"/>
    <mergeCell ref="Q79:R79"/>
    <mergeCell ref="S79:T79"/>
    <mergeCell ref="U79:V79"/>
    <mergeCell ref="W79:X79"/>
    <mergeCell ref="Y79:Z79"/>
    <mergeCell ref="U80:V80"/>
    <mergeCell ref="W80:X80"/>
    <mergeCell ref="C84:D84"/>
    <mergeCell ref="E84:F84"/>
    <mergeCell ref="A75:A78"/>
    <mergeCell ref="A79:A82"/>
    <mergeCell ref="B79:B82"/>
    <mergeCell ref="A83:A86"/>
    <mergeCell ref="B83:B86"/>
    <mergeCell ref="C83:D83"/>
    <mergeCell ref="E83:F83"/>
    <mergeCell ref="Q87:R87"/>
    <mergeCell ref="S87:T87"/>
    <mergeCell ref="U87:V87"/>
    <mergeCell ref="W87:X87"/>
    <mergeCell ref="Y87:Z87"/>
    <mergeCell ref="C87:D87"/>
    <mergeCell ref="E87:F87"/>
    <mergeCell ref="G87:H87"/>
    <mergeCell ref="I87:J87"/>
    <mergeCell ref="K87:L87"/>
    <mergeCell ref="M87:N87"/>
    <mergeCell ref="O87:P87"/>
    <mergeCell ref="M88:N88"/>
    <mergeCell ref="O88:P88"/>
    <mergeCell ref="Q88:R88"/>
    <mergeCell ref="S88:T88"/>
    <mergeCell ref="U88:V88"/>
    <mergeCell ref="W88:X88"/>
    <mergeCell ref="Y88:Z88"/>
    <mergeCell ref="A87:A90"/>
    <mergeCell ref="B87:B90"/>
    <mergeCell ref="C88:D88"/>
    <mergeCell ref="E88:F88"/>
    <mergeCell ref="G88:H88"/>
    <mergeCell ref="I88:J88"/>
    <mergeCell ref="K88:L88"/>
    <mergeCell ref="M91:N91"/>
    <mergeCell ref="O91:P91"/>
    <mergeCell ref="Q91:R91"/>
    <mergeCell ref="S91:T91"/>
    <mergeCell ref="U91:V91"/>
    <mergeCell ref="W91:X91"/>
    <mergeCell ref="Y91:Z91"/>
    <mergeCell ref="A95:A98"/>
    <mergeCell ref="A99:A102"/>
    <mergeCell ref="B99:B102"/>
    <mergeCell ref="C99:D99"/>
    <mergeCell ref="E99:F99"/>
    <mergeCell ref="G99:H99"/>
    <mergeCell ref="I99:J99"/>
    <mergeCell ref="C100:D100"/>
    <mergeCell ref="E100:F100"/>
    <mergeCell ref="B103:B106"/>
    <mergeCell ref="C103:D103"/>
    <mergeCell ref="E103:F103"/>
    <mergeCell ref="C104:D104"/>
    <mergeCell ref="E104:F104"/>
    <mergeCell ref="C142:D142"/>
    <mergeCell ref="E142:F142"/>
    <mergeCell ref="A138:A140"/>
    <mergeCell ref="A141:A144"/>
    <mergeCell ref="B141:B144"/>
    <mergeCell ref="C141:D141"/>
    <mergeCell ref="E141:F141"/>
    <mergeCell ref="G141:H141"/>
    <mergeCell ref="I141:J141"/>
    <mergeCell ref="U142:V142"/>
    <mergeCell ref="W142:X142"/>
    <mergeCell ref="Y142:Z142"/>
    <mergeCell ref="G142:H142"/>
    <mergeCell ref="I142:J142"/>
    <mergeCell ref="K142:L142"/>
    <mergeCell ref="M142:N142"/>
    <mergeCell ref="O142:P142"/>
    <mergeCell ref="Q142:R142"/>
    <mergeCell ref="S142:T142"/>
    <mergeCell ref="M146:N146"/>
    <mergeCell ref="O146:P146"/>
    <mergeCell ref="Q146:R146"/>
    <mergeCell ref="S146:T146"/>
    <mergeCell ref="U146:V146"/>
    <mergeCell ref="W146:X146"/>
    <mergeCell ref="Y146:Z146"/>
    <mergeCell ref="M145:N145"/>
    <mergeCell ref="O145:P145"/>
    <mergeCell ref="Q145:R145"/>
    <mergeCell ref="S145:T145"/>
    <mergeCell ref="U145:V145"/>
    <mergeCell ref="W145:X145"/>
    <mergeCell ref="Y145:Z145"/>
    <mergeCell ref="W135:X135"/>
    <mergeCell ref="Y135:Z135"/>
    <mergeCell ref="G135:H135"/>
    <mergeCell ref="I135:J135"/>
    <mergeCell ref="M135:N135"/>
    <mergeCell ref="O135:P135"/>
    <mergeCell ref="Q135:R135"/>
    <mergeCell ref="S135:T135"/>
    <mergeCell ref="U135:V135"/>
    <mergeCell ref="S138:T138"/>
    <mergeCell ref="U138:V138"/>
    <mergeCell ref="W138:X138"/>
    <mergeCell ref="Y138:Z138"/>
    <mergeCell ref="G134:H134"/>
    <mergeCell ref="G138:H138"/>
    <mergeCell ref="I138:J138"/>
    <mergeCell ref="K138:L138"/>
    <mergeCell ref="M138:N138"/>
    <mergeCell ref="O138:P138"/>
    <mergeCell ref="Q138:R138"/>
    <mergeCell ref="U139:V139"/>
    <mergeCell ref="W139:X139"/>
    <mergeCell ref="Y139:Z139"/>
    <mergeCell ref="G139:H139"/>
    <mergeCell ref="I139:J139"/>
    <mergeCell ref="K139:L139"/>
    <mergeCell ref="M139:N139"/>
    <mergeCell ref="O139:P139"/>
    <mergeCell ref="Q139:R139"/>
    <mergeCell ref="S139:T139"/>
    <mergeCell ref="K141:L141"/>
    <mergeCell ref="M141:N141"/>
    <mergeCell ref="O141:P141"/>
    <mergeCell ref="Q141:R141"/>
    <mergeCell ref="S141:T141"/>
    <mergeCell ref="U141:V141"/>
    <mergeCell ref="W141:X141"/>
    <mergeCell ref="Y141:Z141"/>
    <mergeCell ref="U150:V150"/>
    <mergeCell ref="W150:X150"/>
    <mergeCell ref="G150:H150"/>
    <mergeCell ref="I150:J150"/>
    <mergeCell ref="K150:L150"/>
    <mergeCell ref="M150:N150"/>
    <mergeCell ref="O150:P150"/>
    <mergeCell ref="Q150:R150"/>
    <mergeCell ref="S150:T150"/>
    <mergeCell ref="C153:D153"/>
    <mergeCell ref="E153:F153"/>
    <mergeCell ref="C146:D146"/>
    <mergeCell ref="E146:F146"/>
    <mergeCell ref="B149:B152"/>
    <mergeCell ref="C149:D149"/>
    <mergeCell ref="E149:F149"/>
    <mergeCell ref="C150:D150"/>
    <mergeCell ref="E150:F150"/>
    <mergeCell ref="G145:H145"/>
    <mergeCell ref="G149:H149"/>
    <mergeCell ref="I149:J149"/>
    <mergeCell ref="K149:L149"/>
    <mergeCell ref="M149:N149"/>
    <mergeCell ref="O149:P149"/>
    <mergeCell ref="Q149:R149"/>
    <mergeCell ref="G146:H146"/>
    <mergeCell ref="I146:J146"/>
    <mergeCell ref="G153:H153"/>
    <mergeCell ref="I153:J153"/>
    <mergeCell ref="K153:L153"/>
    <mergeCell ref="M153:N153"/>
    <mergeCell ref="O153:P153"/>
    <mergeCell ref="A134:A137"/>
    <mergeCell ref="B134:B137"/>
    <mergeCell ref="C134:D134"/>
    <mergeCell ref="E134:F134"/>
    <mergeCell ref="I134:J134"/>
    <mergeCell ref="K134:L134"/>
    <mergeCell ref="K135:L135"/>
    <mergeCell ref="C135:D135"/>
    <mergeCell ref="E135:F135"/>
    <mergeCell ref="B138:B140"/>
    <mergeCell ref="C138:D138"/>
    <mergeCell ref="E138:F138"/>
    <mergeCell ref="C139:D139"/>
    <mergeCell ref="E139:F139"/>
    <mergeCell ref="A145:A148"/>
    <mergeCell ref="B145:B148"/>
    <mergeCell ref="C145:D145"/>
    <mergeCell ref="E145:F145"/>
    <mergeCell ref="I145:J145"/>
    <mergeCell ref="K145:L145"/>
    <mergeCell ref="K146:L146"/>
    <mergeCell ref="S149:T149"/>
    <mergeCell ref="U149:V149"/>
    <mergeCell ref="W149:X149"/>
    <mergeCell ref="Y149:Z149"/>
    <mergeCell ref="Y150:Z150"/>
    <mergeCell ref="A149:A152"/>
    <mergeCell ref="A153:A156"/>
    <mergeCell ref="B153:B156"/>
    <mergeCell ref="C154:D154"/>
    <mergeCell ref="E154:F154"/>
    <mergeCell ref="Q153:R153"/>
    <mergeCell ref="S153:T153"/>
    <mergeCell ref="U153:V153"/>
    <mergeCell ref="W153:X153"/>
    <mergeCell ref="Y153:Z153"/>
    <mergeCell ref="U154:V154"/>
    <mergeCell ref="W154:X154"/>
    <mergeCell ref="Y154:Z154"/>
    <mergeCell ref="G154:H154"/>
    <mergeCell ref="I154:J154"/>
    <mergeCell ref="K154:L154"/>
    <mergeCell ref="M154:N154"/>
    <mergeCell ref="O154:P154"/>
    <mergeCell ref="Q154:R154"/>
    <mergeCell ref="S154:T154"/>
    <mergeCell ref="U100:V100"/>
    <mergeCell ref="W100:X100"/>
    <mergeCell ref="Y100:Z100"/>
    <mergeCell ref="G100:H100"/>
    <mergeCell ref="I100:J100"/>
    <mergeCell ref="K100:L100"/>
    <mergeCell ref="M100:N100"/>
    <mergeCell ref="O100:P100"/>
    <mergeCell ref="Q100:R100"/>
    <mergeCell ref="S100:T100"/>
    <mergeCell ref="U103:V103"/>
    <mergeCell ref="W103:X103"/>
    <mergeCell ref="Y103:Z103"/>
    <mergeCell ref="G103:H103"/>
    <mergeCell ref="I103:J103"/>
    <mergeCell ref="K103:L103"/>
    <mergeCell ref="M103:N103"/>
    <mergeCell ref="O103:P103"/>
    <mergeCell ref="Q103:R103"/>
    <mergeCell ref="S103:T103"/>
    <mergeCell ref="U104:V104"/>
    <mergeCell ref="W104:X104"/>
    <mergeCell ref="Y104:Z104"/>
    <mergeCell ref="G104:H104"/>
    <mergeCell ref="I104:J104"/>
    <mergeCell ref="K104:L104"/>
    <mergeCell ref="M104:N104"/>
    <mergeCell ref="O104:P104"/>
    <mergeCell ref="Q104:R104"/>
    <mergeCell ref="S104:T104"/>
    <mergeCell ref="K107:L107"/>
    <mergeCell ref="M107:N107"/>
    <mergeCell ref="O107:P107"/>
    <mergeCell ref="Q107:R107"/>
    <mergeCell ref="S107:T107"/>
    <mergeCell ref="U107:V107"/>
    <mergeCell ref="W107:X107"/>
    <mergeCell ref="Y107:Z107"/>
    <mergeCell ref="C116:D116"/>
    <mergeCell ref="E116:F116"/>
    <mergeCell ref="U116:V116"/>
    <mergeCell ref="W116:X116"/>
    <mergeCell ref="Y116:Z116"/>
    <mergeCell ref="G116:H116"/>
    <mergeCell ref="I116:J116"/>
    <mergeCell ref="K116:L116"/>
    <mergeCell ref="M116:N116"/>
    <mergeCell ref="O116:P116"/>
    <mergeCell ref="Q116:R116"/>
    <mergeCell ref="S116:T116"/>
    <mergeCell ref="A111:A114"/>
    <mergeCell ref="A115:A117"/>
    <mergeCell ref="B115:B117"/>
    <mergeCell ref="C115:D115"/>
    <mergeCell ref="E115:F115"/>
    <mergeCell ref="G115:H115"/>
    <mergeCell ref="I115:J115"/>
    <mergeCell ref="M118:N118"/>
    <mergeCell ref="O118:P118"/>
    <mergeCell ref="Q118:R118"/>
    <mergeCell ref="S118:T118"/>
    <mergeCell ref="U118:V118"/>
    <mergeCell ref="W118:X118"/>
    <mergeCell ref="Y118:Z118"/>
    <mergeCell ref="W119:X119"/>
    <mergeCell ref="Y119:Z119"/>
    <mergeCell ref="K118:L118"/>
    <mergeCell ref="K119:L119"/>
    <mergeCell ref="M119:N119"/>
    <mergeCell ref="O119:P119"/>
    <mergeCell ref="Q119:R119"/>
    <mergeCell ref="S119:T119"/>
    <mergeCell ref="U119:V119"/>
    <mergeCell ref="U108:V108"/>
    <mergeCell ref="W108:X108"/>
    <mergeCell ref="Y108:Z108"/>
    <mergeCell ref="G108:H108"/>
    <mergeCell ref="I108:J108"/>
    <mergeCell ref="K108:L108"/>
    <mergeCell ref="M108:N108"/>
    <mergeCell ref="O108:P108"/>
    <mergeCell ref="Q108:R108"/>
    <mergeCell ref="S108:T108"/>
    <mergeCell ref="U111:V111"/>
    <mergeCell ref="W111:X111"/>
    <mergeCell ref="Y111:Z111"/>
    <mergeCell ref="G111:H111"/>
    <mergeCell ref="I111:J111"/>
    <mergeCell ref="K111:L111"/>
    <mergeCell ref="M111:N111"/>
    <mergeCell ref="O111:P111"/>
    <mergeCell ref="Q111:R111"/>
    <mergeCell ref="S111:T111"/>
    <mergeCell ref="U112:V112"/>
    <mergeCell ref="W112:X112"/>
    <mergeCell ref="Y112:Z112"/>
    <mergeCell ref="G112:H112"/>
    <mergeCell ref="I112:J112"/>
    <mergeCell ref="K112:L112"/>
    <mergeCell ref="M112:N112"/>
    <mergeCell ref="O112:P112"/>
    <mergeCell ref="Q112:R112"/>
    <mergeCell ref="S112:T112"/>
    <mergeCell ref="K115:L115"/>
    <mergeCell ref="M115:N115"/>
    <mergeCell ref="O115:P115"/>
    <mergeCell ref="Q115:R115"/>
    <mergeCell ref="S115:T115"/>
    <mergeCell ref="U115:V115"/>
    <mergeCell ref="W115:X115"/>
    <mergeCell ref="Y115:Z115"/>
    <mergeCell ref="Q123:R123"/>
    <mergeCell ref="S123:T123"/>
    <mergeCell ref="C123:D123"/>
    <mergeCell ref="E123:F123"/>
    <mergeCell ref="G123:H123"/>
    <mergeCell ref="I123:J123"/>
    <mergeCell ref="K123:L123"/>
    <mergeCell ref="M123:N123"/>
    <mergeCell ref="O123:P123"/>
    <mergeCell ref="U126:V126"/>
    <mergeCell ref="W126:X126"/>
    <mergeCell ref="G126:H126"/>
    <mergeCell ref="I126:J126"/>
    <mergeCell ref="K126:L126"/>
    <mergeCell ref="M126:N126"/>
    <mergeCell ref="O126:P126"/>
    <mergeCell ref="Q126:R126"/>
    <mergeCell ref="S126:T126"/>
    <mergeCell ref="U127:V127"/>
    <mergeCell ref="W127:X127"/>
    <mergeCell ref="Y127:Z127"/>
    <mergeCell ref="G127:H127"/>
    <mergeCell ref="I127:J127"/>
    <mergeCell ref="K127:L127"/>
    <mergeCell ref="M127:N127"/>
    <mergeCell ref="O127:P127"/>
    <mergeCell ref="Q127:R127"/>
    <mergeCell ref="S127:T127"/>
    <mergeCell ref="A103:A106"/>
    <mergeCell ref="A107:A110"/>
    <mergeCell ref="B107:B110"/>
    <mergeCell ref="C107:D107"/>
    <mergeCell ref="E107:F107"/>
    <mergeCell ref="G107:H107"/>
    <mergeCell ref="I107:J107"/>
    <mergeCell ref="C108:D108"/>
    <mergeCell ref="E108:F108"/>
    <mergeCell ref="B111:B114"/>
    <mergeCell ref="C111:D111"/>
    <mergeCell ref="E111:F111"/>
    <mergeCell ref="C112:D112"/>
    <mergeCell ref="E112:F112"/>
    <mergeCell ref="E119:F119"/>
    <mergeCell ref="G119:H119"/>
    <mergeCell ref="B118:B121"/>
    <mergeCell ref="C118:D118"/>
    <mergeCell ref="E118:F118"/>
    <mergeCell ref="G118:H118"/>
    <mergeCell ref="I118:J118"/>
    <mergeCell ref="C119:D119"/>
    <mergeCell ref="I119:J119"/>
    <mergeCell ref="C122:D122"/>
    <mergeCell ref="E122:F122"/>
    <mergeCell ref="G122:H122"/>
    <mergeCell ref="I122:J122"/>
    <mergeCell ref="K122:L122"/>
    <mergeCell ref="M122:N122"/>
    <mergeCell ref="O122:P122"/>
    <mergeCell ref="Y123:Z123"/>
    <mergeCell ref="Y126:Z126"/>
    <mergeCell ref="Q122:R122"/>
    <mergeCell ref="S122:T122"/>
    <mergeCell ref="U122:V122"/>
    <mergeCell ref="W122:X122"/>
    <mergeCell ref="Y122:Z122"/>
    <mergeCell ref="U123:V123"/>
    <mergeCell ref="W123:X123"/>
    <mergeCell ref="C127:D127"/>
    <mergeCell ref="E127:F127"/>
    <mergeCell ref="A118:A121"/>
    <mergeCell ref="A122:A125"/>
    <mergeCell ref="B122:B125"/>
    <mergeCell ref="A126:A129"/>
    <mergeCell ref="B126:B129"/>
    <mergeCell ref="C126:D126"/>
    <mergeCell ref="E126:F126"/>
    <mergeCell ref="Q130:R130"/>
    <mergeCell ref="S130:T130"/>
    <mergeCell ref="U130:V130"/>
    <mergeCell ref="W130:X130"/>
    <mergeCell ref="Y130:Z130"/>
    <mergeCell ref="C130:D130"/>
    <mergeCell ref="E130:F130"/>
    <mergeCell ref="G130:H130"/>
    <mergeCell ref="I130:J130"/>
    <mergeCell ref="K130:L130"/>
    <mergeCell ref="M130:N130"/>
    <mergeCell ref="O130:P130"/>
    <mergeCell ref="M131:N131"/>
    <mergeCell ref="O131:P131"/>
    <mergeCell ref="Q131:R131"/>
    <mergeCell ref="S131:T131"/>
    <mergeCell ref="U131:V131"/>
    <mergeCell ref="W131:X131"/>
    <mergeCell ref="Y131:Z131"/>
    <mergeCell ref="A130:A133"/>
    <mergeCell ref="B130:B133"/>
    <mergeCell ref="C131:D131"/>
    <mergeCell ref="E131:F131"/>
    <mergeCell ref="G131:H131"/>
    <mergeCell ref="I131:J131"/>
    <mergeCell ref="K131:L131"/>
    <mergeCell ref="M134:N134"/>
    <mergeCell ref="O134:P134"/>
    <mergeCell ref="Q134:R134"/>
    <mergeCell ref="S134:T134"/>
    <mergeCell ref="U134:V134"/>
    <mergeCell ref="W134:X134"/>
    <mergeCell ref="Y134:Z1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7.63"/>
    <col customWidth="1" min="3" max="26" width="8.88"/>
  </cols>
  <sheetData>
    <row r="1">
      <c r="A1" s="28" t="s">
        <v>50</v>
      </c>
      <c r="B1" s="5"/>
      <c r="C1" s="29">
        <v>45292.0</v>
      </c>
      <c r="D1" s="29">
        <v>45323.0</v>
      </c>
      <c r="E1" s="29">
        <v>45352.0</v>
      </c>
      <c r="F1" s="29">
        <v>45383.0</v>
      </c>
      <c r="G1" s="29">
        <v>45413.0</v>
      </c>
      <c r="H1" s="29">
        <v>45444.0</v>
      </c>
      <c r="I1" s="29">
        <v>45474.0</v>
      </c>
      <c r="J1" s="29">
        <v>45505.0</v>
      </c>
      <c r="K1" s="29">
        <v>45536.0</v>
      </c>
      <c r="L1" s="29">
        <v>45566.0</v>
      </c>
      <c r="M1" s="29">
        <v>45597.0</v>
      </c>
      <c r="N1" s="29">
        <v>45627.0</v>
      </c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1">
        <f>SUM(B2:N2)</f>
        <v>110785.3</v>
      </c>
      <c r="C2" s="32">
        <f>SUMIF('配当金履歴一覧'!$C:$C,C1,'配当金履歴一覧'!$F:$F)+SUMIF('配当金履歴一覧'!$C:$C,C1,'配当金履歴一覧'!$H:$H)</f>
        <v>0</v>
      </c>
      <c r="D2" s="32">
        <f>SUMIF('配当金履歴一覧'!$C:$C,D1,'配当金履歴一覧'!$F:$F)+SUMIF('配当金履歴一覧'!$C:$C,D1,'配当金履歴一覧'!$H:$H)</f>
        <v>0</v>
      </c>
      <c r="E2" s="32">
        <f>SUMIF('配当金履歴一覧'!$C:$C,E1,'配当金履歴一覧'!$F:$F)+SUMIF('配当金履歴一覧'!$C:$C,E1,'配当金履歴一覧'!$H:$H)</f>
        <v>15187.3</v>
      </c>
      <c r="F2" s="32">
        <f>SUMIF('配当金履歴一覧'!$C:$C,F1,'配当金履歴一覧'!$F:$F)+SUMIF('配当金履歴一覧'!$C:$C,F1,'配当金履歴一覧'!$H:$H)</f>
        <v>765</v>
      </c>
      <c r="G2" s="32">
        <f>SUMIF('配当金履歴一覧'!$C:$C,G1,'配当金履歴一覧'!$F:$F)+SUMIF('配当金履歴一覧'!$C:$C,G1,'配当金履歴一覧'!$H:$H)</f>
        <v>0</v>
      </c>
      <c r="H2" s="32">
        <f>SUMIF('配当金履歴一覧'!$C:$C,H1,'配当金履歴一覧'!$F:$F)+SUMIF('配当金履歴一覧'!$C:$C,H1,'配当金履歴一覧'!$H:$H)</f>
        <v>33569</v>
      </c>
      <c r="I2" s="32">
        <f>SUMIF('配当金履歴一覧'!$C:$C,I1,'配当金履歴一覧'!$F:$F)+SUMIF('配当金履歴一覧'!$C:$C,I1,'配当金履歴一覧'!$H:$H)</f>
        <v>0</v>
      </c>
      <c r="J2" s="32">
        <f>SUMIF('配当金履歴一覧'!$C:$C,J1,'配当金履歴一覧'!$F:$F)+SUMIF('配当金履歴一覧'!$C:$C,J1,'配当金履歴一覧'!$H:$H)</f>
        <v>346</v>
      </c>
      <c r="K2" s="32">
        <f>SUMIF('配当金履歴一覧'!$C:$C,K1,'配当金履歴一覧'!$F:$F)+SUMIF('配当金履歴一覧'!$C:$C,K1,'配当金履歴一覧'!$H:$H)</f>
        <v>13402</v>
      </c>
      <c r="L2" s="32">
        <f>SUMIF('配当金履歴一覧'!$C:$C,L1,'配当金履歴一覧'!$F:$F)+SUMIF('配当金履歴一覧'!$C:$C,L1,'配当金履歴一覧'!$H:$H)</f>
        <v>7323</v>
      </c>
      <c r="M2" s="32">
        <f>SUMIF('配当金履歴一覧'!$C:$C,M1,'配当金履歴一覧'!$F:$F)+SUMIF('配当金履歴一覧'!$C:$C,M1,'配当金履歴一覧'!$H:$H)</f>
        <v>1231</v>
      </c>
      <c r="N2" s="32">
        <f>SUMIF('配当金履歴一覧'!$C:$C,N1,'配当金履歴一覧'!$F:$F)+SUMIF('配当金履歴一覧'!$C:$C,N1,'配当金履歴一覧'!$H:$H)</f>
        <v>38962</v>
      </c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28" t="s">
        <v>51</v>
      </c>
      <c r="B4" s="5"/>
      <c r="C4" s="29">
        <v>45658.0</v>
      </c>
      <c r="D4" s="29">
        <v>45689.0</v>
      </c>
      <c r="E4" s="29">
        <v>45717.0</v>
      </c>
      <c r="F4" s="29">
        <v>45748.0</v>
      </c>
      <c r="G4" s="29">
        <v>45778.0</v>
      </c>
      <c r="H4" s="29">
        <v>45809.0</v>
      </c>
      <c r="I4" s="29">
        <v>45839.0</v>
      </c>
      <c r="J4" s="29">
        <v>45870.0</v>
      </c>
      <c r="K4" s="29">
        <v>45901.0</v>
      </c>
      <c r="L4" s="29">
        <v>45931.0</v>
      </c>
      <c r="M4" s="29">
        <v>45962.0</v>
      </c>
      <c r="N4" s="29">
        <v>45992.0</v>
      </c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1">
        <f>SUM(B5:N5)</f>
        <v>148195</v>
      </c>
      <c r="C5" s="32">
        <f>SUMIF('配当金履歴一覧'!$C:$C,C4,'配当金履歴一覧'!$F:$F)+SUMIF('配当金履歴一覧'!$C:$C,C4,'配当金履歴一覧'!$H:$H)</f>
        <v>0</v>
      </c>
      <c r="D5" s="32">
        <f>SUMIF('配当金履歴一覧'!$C:$C,D4,'配当金履歴一覧'!$F:$F)+SUMIF('配当金履歴一覧'!$C:$C,D4,'配当金履歴一覧'!$H:$H)</f>
        <v>0</v>
      </c>
      <c r="E5" s="32">
        <f>SUMIF('配当金履歴一覧'!$C:$C,E4,'配当金履歴一覧'!$F:$F)+SUMIF('配当金履歴一覧'!$C:$C,E4,'配当金履歴一覧'!$H:$H)</f>
        <v>21710</v>
      </c>
      <c r="F5" s="32">
        <f>SUMIF('配当金履歴一覧'!$C:$C,F4,'配当金履歴一覧'!$F:$F)+SUMIF('配当金履歴一覧'!$C:$C,F4,'配当金履歴一覧'!$H:$H)</f>
        <v>1133</v>
      </c>
      <c r="G5" s="32">
        <f>SUMIF('配当金履歴一覧'!$C:$C,G4,'配当金履歴一覧'!$F:$F)+SUMIF('配当金履歴一覧'!$C:$C,G4,'配当金履歴一覧'!$H:$H)</f>
        <v>0</v>
      </c>
      <c r="H5" s="32">
        <f>SUMIF('配当金履歴一覧'!$C:$C,H4,'配当金履歴一覧'!$F:$F)+SUMIF('配当金履歴一覧'!$C:$C,H4,'配当金履歴一覧'!$H:$H)</f>
        <v>42431</v>
      </c>
      <c r="I5" s="32">
        <f>SUMIF('配当金履歴一覧'!$C:$C,I4,'配当金履歴一覧'!$F:$F)+SUMIF('配当金履歴一覧'!$C:$C,I4,'配当金履歴一覧'!$H:$H)</f>
        <v>1731</v>
      </c>
      <c r="J5" s="32">
        <f>SUMIF('配当金履歴一覧'!$C:$C,J4,'配当金履歴一覧'!$F:$F)+SUMIF('配当金履歴一覧'!$C:$C,J4,'配当金履歴一覧'!$H:$H)</f>
        <v>528</v>
      </c>
      <c r="K5" s="32">
        <f>SUMIF('配当金履歴一覧'!$C:$C,K4,'配当金履歴一覧'!$F:$F)+SUMIF('配当金履歴一覧'!$C:$C,K4,'配当金履歴一覧'!$H:$H)</f>
        <v>26957</v>
      </c>
      <c r="L5" s="32">
        <f>SUMIF('配当金履歴一覧'!$C:$C,L4,'配当金履歴一覧'!$F:$F)+SUMIF('配当金履歴一覧'!$C:$C,L4,'配当金履歴一覧'!$H:$H)</f>
        <v>0</v>
      </c>
      <c r="M5" s="32">
        <f>SUMIF('配当金履歴一覧'!$C:$C,M4,'配当金履歴一覧'!$F:$F)+SUMIF('配当金履歴一覧'!$C:$C,M4,'配当金履歴一覧'!$H:$H)</f>
        <v>1551</v>
      </c>
      <c r="N5" s="32">
        <f>SUMIF('配当金履歴一覧'!$C:$C,N4,'配当金履歴一覧'!$F:$F)+SUMIF('配当金履歴一覧'!$C:$C,N4,'配当金履歴一覧'!$H:$H)</f>
        <v>52154</v>
      </c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28" t="s">
        <v>52</v>
      </c>
      <c r="B7" s="5"/>
      <c r="C7" s="29">
        <v>46023.0</v>
      </c>
      <c r="D7" s="29">
        <v>46054.0</v>
      </c>
      <c r="E7" s="29">
        <v>46082.0</v>
      </c>
      <c r="F7" s="29">
        <v>46113.0</v>
      </c>
      <c r="G7" s="29">
        <v>46143.0</v>
      </c>
      <c r="H7" s="29">
        <v>46174.0</v>
      </c>
      <c r="I7" s="29">
        <v>46204.0</v>
      </c>
      <c r="J7" s="29">
        <v>46235.0</v>
      </c>
      <c r="K7" s="29">
        <v>46266.0</v>
      </c>
      <c r="L7" s="29">
        <v>46296.0</v>
      </c>
      <c r="M7" s="29">
        <v>46327.0</v>
      </c>
      <c r="N7" s="29">
        <v>46357.0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1">
        <f>SUM(B8:N8)</f>
        <v>0</v>
      </c>
      <c r="C8" s="32">
        <f>SUMIF('配当金履歴一覧'!$C:$C,C7,'配当金履歴一覧'!$F:$F)+SUMIF('配当金履歴一覧'!$C:$C,C7,'配当金履歴一覧'!$H:$H)</f>
        <v>0</v>
      </c>
      <c r="D8" s="32">
        <f>SUMIF('配当金履歴一覧'!$C:$C,D7,'配当金履歴一覧'!$F:$F)+SUMIF('配当金履歴一覧'!$C:$C,D7,'配当金履歴一覧'!$H:$H)</f>
        <v>0</v>
      </c>
      <c r="E8" s="32">
        <f>SUMIF('配当金履歴一覧'!$C:$C,E7,'配当金履歴一覧'!$F:$F)+SUMIF('配当金履歴一覧'!$C:$C,E7,'配当金履歴一覧'!$H:$H)</f>
        <v>0</v>
      </c>
      <c r="F8" s="32">
        <f>SUMIF('配当金履歴一覧'!$C:$C,F7,'配当金履歴一覧'!$F:$F)+SUMIF('配当金履歴一覧'!$C:$C,F7,'配当金履歴一覧'!$H:$H)</f>
        <v>0</v>
      </c>
      <c r="G8" s="32">
        <f>SUMIF('配当金履歴一覧'!$C:$C,G7,'配当金履歴一覧'!$F:$F)+SUMIF('配当金履歴一覧'!$C:$C,G7,'配当金履歴一覧'!$H:$H)</f>
        <v>0</v>
      </c>
      <c r="H8" s="32">
        <f>SUMIF('配当金履歴一覧'!$C:$C,H7,'配当金履歴一覧'!$F:$F)+SUMIF('配当金履歴一覧'!$C:$C,H7,'配当金履歴一覧'!$H:$H)</f>
        <v>0</v>
      </c>
      <c r="I8" s="32">
        <f>SUMIF('配当金履歴一覧'!$C:$C,I7,'配当金履歴一覧'!$F:$F)+SUMIF('配当金履歴一覧'!$C:$C,I7,'配当金履歴一覧'!$H:$H)</f>
        <v>0</v>
      </c>
      <c r="J8" s="32">
        <f>SUMIF('配当金履歴一覧'!$C:$C,J7,'配当金履歴一覧'!$F:$F)+SUMIF('配当金履歴一覧'!$C:$C,J7,'配当金履歴一覧'!$H:$H)</f>
        <v>0</v>
      </c>
      <c r="K8" s="32">
        <f>SUMIF('配当金履歴一覧'!$C:$C,K7,'配当金履歴一覧'!$F:$F)+SUMIF('配当金履歴一覧'!$C:$C,K7,'配当金履歴一覧'!$H:$H)</f>
        <v>0</v>
      </c>
      <c r="L8" s="32">
        <f>SUMIF('配当金履歴一覧'!$C:$C,L7,'配当金履歴一覧'!$F:$F)+SUMIF('配当金履歴一覧'!$C:$C,L7,'配当金履歴一覧'!$H:$H)</f>
        <v>0</v>
      </c>
      <c r="M8" s="32">
        <f>SUMIF('配当金履歴一覧'!$C:$C,M7,'配当金履歴一覧'!$F:$F)+SUMIF('配当金履歴一覧'!$C:$C,M7,'配当金履歴一覧'!$H:$H)</f>
        <v>0</v>
      </c>
      <c r="N8" s="32">
        <f>SUMIF('配当金履歴一覧'!$C:$C,N7,'配当金履歴一覧'!$F:$F)+SUMIF('配当金履歴一覧'!$C:$C,N7,'配当金履歴一覧'!$H:$H)</f>
        <v>0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3" t="s">
        <v>0</v>
      </c>
      <c r="B10" s="33" t="s">
        <v>1</v>
      </c>
      <c r="C10" s="34" t="s">
        <v>53</v>
      </c>
      <c r="D10" s="4"/>
      <c r="E10" s="5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9"/>
      <c r="B11" s="9"/>
      <c r="C11" s="35" t="s">
        <v>54</v>
      </c>
      <c r="D11" s="35" t="s">
        <v>55</v>
      </c>
      <c r="E11" s="35" t="s">
        <v>56</v>
      </c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36" t="s">
        <v>57</v>
      </c>
      <c r="B12" s="37"/>
      <c r="C12" s="38">
        <f t="shared" ref="C12:E12" si="1">SUM(C14:C16)</f>
        <v>69733.3</v>
      </c>
      <c r="D12" s="38">
        <f t="shared" si="1"/>
        <v>80052</v>
      </c>
      <c r="E12" s="38">
        <f t="shared" si="1"/>
        <v>0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39"/>
      <c r="B13" s="40"/>
      <c r="C13" s="9"/>
      <c r="D13" s="9"/>
      <c r="E13" s="9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41" t="s">
        <v>6</v>
      </c>
      <c r="B14" s="42" t="s">
        <v>7</v>
      </c>
      <c r="C14" s="43">
        <f>SUMIFS('配当金履歴一覧'!$F:F,'配当金履歴一覧'!$C:$C,"&gt;=2024/1",'配当金履歴一覧'!$C:$C,"&lt;=2024/12",'配当金履歴一覧'!$B:$B,$B14)+SUMIFS('配当金履歴一覧'!$H:H,'配当金履歴一覧'!$C:$C,"&gt;=2024/1",'配当金履歴一覧'!$C:$C,"&lt;=2024/12",'配当金履歴一覧'!$B:$B,$B14)</f>
        <v>25852.3</v>
      </c>
      <c r="D14" s="43">
        <f>SUMIFS('配当金履歴一覧'!$F:F,'配当金履歴一覧'!$C:$C,"&gt;=2025/1",'配当金履歴一覧'!$C:$C,"&lt;=2025/12",'配当金履歴一覧'!$B:$B,$B14)+SUMIFS('配当金履歴一覧'!$H:H,'配当金履歴一覧'!$C:$C,"&gt;=2025/1",'配当金履歴一覧'!$C:$C,"&lt;=2025/12",'配当金履歴一覧'!$B:$B,$B14)</f>
        <v>29898</v>
      </c>
      <c r="E14" s="43">
        <f>SUMIFS('配当金履歴一覧'!$F:F,'配当金履歴一覧'!$C:$C,"&gt;=2026/1",'配当金履歴一覧'!$C:$C,"&lt;=2026/12",'配当金履歴一覧'!$B:$B,$B14)+SUMIFS('配当金履歴一覧'!$H:H,'配当金履歴一覧'!$C:$C,"&gt;=2026/1",'配当金履歴一覧'!$C:$C,"&lt;=2026/12",'配当金履歴一覧'!$B:$B,$B14)</f>
        <v>0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41" t="s">
        <v>8</v>
      </c>
      <c r="B15" s="42" t="s">
        <v>9</v>
      </c>
      <c r="C15" s="43">
        <f>SUMIFS('配当金履歴一覧'!$F:F,'配当金履歴一覧'!$C:$C,"&gt;=2024/1",'配当金履歴一覧'!$C:$C,"&lt;=2024/12",'配当金履歴一覧'!$B:$B,$B15)+SUMIFS('配当金履歴一覧'!$H:H,'配当金履歴一覧'!$C:$C,"&gt;=2024/1",'配当金履歴一覧'!$C:$C,"&lt;=2024/12",'配当金履歴一覧'!$B:$B,$B15)</f>
        <v>3441</v>
      </c>
      <c r="D15" s="43">
        <f>SUMIFS('配当金履歴一覧'!$F:F,'配当金履歴一覧'!$C:$C,"&gt;=2025/1",'配当金履歴一覧'!$C:$C,"&lt;=2025/12",'配当金履歴一覧'!$B:$B,$B15)+SUMIFS('配当金履歴一覧'!$H:H,'配当金履歴一覧'!$C:$C,"&gt;=2025/1",'配当金履歴一覧'!$C:$C,"&lt;=2025/12",'配当金履歴一覧'!$B:$B,$B15)</f>
        <v>7820</v>
      </c>
      <c r="E15" s="43">
        <f>SUMIFS('配当金履歴一覧'!$F:F,'配当金履歴一覧'!$C:$C,"&gt;=2026/1",'配当金履歴一覧'!$C:$C,"&lt;=2026/12",'配当金履歴一覧'!$B:$B,$B15)+SUMIFS('配当金履歴一覧'!$H:H,'配当金履歴一覧'!$C:$C,"&gt;=2026/1",'配当金履歴一覧'!$C:$C,"&lt;=2026/12",'配当金履歴一覧'!$B:$B,$B15)</f>
        <v>0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41" t="s">
        <v>10</v>
      </c>
      <c r="B16" s="42" t="s">
        <v>11</v>
      </c>
      <c r="C16" s="43">
        <f>SUMIFS('配当金履歴一覧'!$F:F,'配当金履歴一覧'!$C:$C,"&gt;=2024/1",'配当金履歴一覧'!$C:$C,"&lt;=2024/12",'配当金履歴一覧'!$B:$B,$B16)+SUMIFS('配当金履歴一覧'!$H:H,'配当金履歴一覧'!$C:$C,"&gt;=2024/1",'配当金履歴一覧'!$C:$C,"&lt;=2024/12",'配当金履歴一覧'!$B:$B,$B16)</f>
        <v>40440</v>
      </c>
      <c r="D16" s="43">
        <f>SUMIFS('配当金履歴一覧'!$F:F,'配当金履歴一覧'!$C:$C,"&gt;=2025/1",'配当金履歴一覧'!$C:$C,"&lt;=2025/12",'配当金履歴一覧'!$B:$B,$B16)+SUMIFS('配当金履歴一覧'!$H:H,'配当金履歴一覧'!$C:$C,"&gt;=2025/1",'配当金履歴一覧'!$C:$C,"&lt;=2025/12",'配当金履歴一覧'!$B:$B,$B16)</f>
        <v>42334</v>
      </c>
      <c r="E16" s="43">
        <f>SUMIFS('配当金履歴一覧'!$F:F,'配当金履歴一覧'!$C:$C,"&gt;=2026/1",'配当金履歴一覧'!$C:$C,"&lt;=2026/12",'配当金履歴一覧'!$B:$B,$B16)+SUMIFS('配当金履歴一覧'!$H:H,'配当金履歴一覧'!$C:$C,"&gt;=2026/1",'配当金履歴一覧'!$C:$C,"&lt;=2026/12",'配当金履歴一覧'!$B:$B,$B16)</f>
        <v>0</v>
      </c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36" t="s">
        <v>58</v>
      </c>
      <c r="B17" s="37"/>
      <c r="C17" s="38">
        <f t="shared" ref="C17:E17" si="2">SUM(C19:C56)</f>
        <v>41052</v>
      </c>
      <c r="D17" s="38">
        <f t="shared" si="2"/>
        <v>68143</v>
      </c>
      <c r="E17" s="38">
        <f t="shared" si="2"/>
        <v>0</v>
      </c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39"/>
      <c r="B18" s="40"/>
      <c r="C18" s="9"/>
      <c r="D18" s="9"/>
      <c r="E18" s="9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41">
        <v>1605.0</v>
      </c>
      <c r="B19" s="42" t="s">
        <v>12</v>
      </c>
      <c r="C19" s="43">
        <f>SUMIFS('配当金履歴一覧'!$F:F,'配当金履歴一覧'!$C:$C,"&gt;=2024/1",'配当金履歴一覧'!$C:$C,"&lt;=2024/12",'配当金履歴一覧'!$B:$B,$B19)+SUMIFS('配当金履歴一覧'!$H:H,'配当金履歴一覧'!$C:$C,"&gt;=2024/1",'配当金履歴一覧'!$C:$C,"&lt;=2024/12",'配当金履歴一覧'!$B:$B,$B19)</f>
        <v>172</v>
      </c>
      <c r="D19" s="43">
        <f>SUMIFS('配当金履歴一覧'!$F:F,'配当金履歴一覧'!$C:$C,"&gt;=2025/1",'配当金履歴一覧'!$C:$C,"&lt;=2025/12",'配当金履歴一覧'!$B:$B,$B19)+SUMIFS('配当金履歴一覧'!$H:H,'配当金履歴一覧'!$C:$C,"&gt;=2025/1",'配当金履歴一覧'!$C:$C,"&lt;=2025/12",'配当金履歴一覧'!$B:$B,$B19)</f>
        <v>1859</v>
      </c>
      <c r="E19" s="43">
        <f>SUMIFS('配当金履歴一覧'!$F:F,'配当金履歴一覧'!$C:$C,"&gt;=2026/1",'配当金履歴一覧'!$C:$C,"&lt;=2026/12",'配当金履歴一覧'!$B:$B,$B19)+SUMIFS('配当金履歴一覧'!$H:H,'配当金履歴一覧'!$C:$C,"&gt;=2026/1",'配当金履歴一覧'!$C:$C,"&lt;=2026/12",'配当金履歴一覧'!$B:$B,$B19)</f>
        <v>0</v>
      </c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41">
        <v>1801.0</v>
      </c>
      <c r="B20" s="42" t="s">
        <v>13</v>
      </c>
      <c r="C20" s="43">
        <f>SUMIFS('配当金履歴一覧'!$F:F,'配当金履歴一覧'!$C:$C,"&gt;=2024/1",'配当金履歴一覧'!$C:$C,"&lt;=2024/12",'配当金履歴一覧'!$B:$B,$B20)+SUMIFS('配当金履歴一覧'!$H:H,'配当金履歴一覧'!$C:$C,"&gt;=2024/1",'配当金履歴一覧'!$C:$C,"&lt;=2024/12",'配当金履歴一覧'!$B:$B,$B20)</f>
        <v>702</v>
      </c>
      <c r="D20" s="43">
        <f>SUMIFS('配当金履歴一覧'!$F:F,'配当金履歴一覧'!$C:$C,"&gt;=2025/1",'配当金履歴一覧'!$C:$C,"&lt;=2025/12",'配当金履歴一覧'!$B:$B,$B20)+SUMIFS('配当金履歴一覧'!$H:H,'配当金履歴一覧'!$C:$C,"&gt;=2025/1",'配当金履歴一覧'!$C:$C,"&lt;=2025/12",'配当金履歴一覧'!$B:$B,$B20)</f>
        <v>1114</v>
      </c>
      <c r="E20" s="43">
        <f>SUMIFS('配当金履歴一覧'!$F:F,'配当金履歴一覧'!$C:$C,"&gt;=2026/1",'配当金履歴一覧'!$C:$C,"&lt;=2026/12",'配当金履歴一覧'!$B:$B,$B20)+SUMIFS('配当金履歴一覧'!$H:H,'配当金履歴一覧'!$C:$C,"&gt;=2026/1",'配当金履歴一覧'!$C:$C,"&lt;=2026/12",'配当金履歴一覧'!$B:$B,$B20)</f>
        <v>0</v>
      </c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41">
        <v>1911.0</v>
      </c>
      <c r="B21" s="42" t="s">
        <v>14</v>
      </c>
      <c r="C21" s="43">
        <f>SUMIFS('配当金履歴一覧'!$F:F,'配当金履歴一覧'!$C:$C,"&gt;=2024/1",'配当金履歴一覧'!$C:$C,"&lt;=2024/12",'配当金履歴一覧'!$B:$B,$B21)+SUMIFS('配当金履歴一覧'!$H:H,'配当金履歴一覧'!$C:$C,"&gt;=2024/1",'配当金履歴一覧'!$C:$C,"&lt;=2024/12",'配当金履歴一覧'!$B:$B,$B21)</f>
        <v>1983</v>
      </c>
      <c r="D21" s="43">
        <f>SUMIFS('配当金履歴一覧'!$F:F,'配当金履歴一覧'!$C:$C,"&gt;=2025/1",'配当金履歴一覧'!$C:$C,"&lt;=2025/12",'配当金履歴一覧'!$B:$B,$B21)+SUMIFS('配当金履歴一覧'!$H:H,'配当金履歴一覧'!$C:$C,"&gt;=2025/1",'配当金履歴一覧'!$C:$C,"&lt;=2025/12",'配当金履歴一覧'!$B:$B,$B21)</f>
        <v>3132</v>
      </c>
      <c r="E21" s="43">
        <f>SUMIFS('配当金履歴一覧'!$F:F,'配当金履歴一覧'!$C:$C,"&gt;=2026/1",'配当金履歴一覧'!$C:$C,"&lt;=2026/12",'配当金履歴一覧'!$B:$B,$B21)+SUMIFS('配当金履歴一覧'!$H:H,'配当金履歴一覧'!$C:$C,"&gt;=2026/1",'配当金履歴一覧'!$C:$C,"&lt;=2026/12",'配当金履歴一覧'!$B:$B,$B21)</f>
        <v>0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41">
        <v>1925.0</v>
      </c>
      <c r="B22" s="42" t="s">
        <v>15</v>
      </c>
      <c r="C22" s="43">
        <f>SUMIFS('配当金履歴一覧'!$F:F,'配当金履歴一覧'!$C:$C,"&gt;=2024/1",'配当金履歴一覧'!$C:$C,"&lt;=2024/12",'配当金履歴一覧'!$B:$B,$B22)+SUMIFS('配当金履歴一覧'!$H:H,'配当金履歴一覧'!$C:$C,"&gt;=2024/1",'配当金履歴一覧'!$C:$C,"&lt;=2024/12",'配当金履歴一覧'!$B:$B,$B22)</f>
        <v>1387</v>
      </c>
      <c r="D22" s="43">
        <f>SUMIFS('配当金履歴一覧'!$F:F,'配当金履歴一覧'!$C:$C,"&gt;=2025/1",'配当金履歴一覧'!$C:$C,"&lt;=2025/12",'配当金履歴一覧'!$B:$B,$B22)+SUMIFS('配当金履歴一覧'!$H:H,'配当金履歴一覧'!$C:$C,"&gt;=2025/1",'配当金履歴一覧'!$C:$C,"&lt;=2025/12",'配当金履歴一覧'!$B:$B,$B22)</f>
        <v>1764</v>
      </c>
      <c r="E22" s="43">
        <f>SUMIFS('配当金履歴一覧'!$F:F,'配当金履歴一覧'!$C:$C,"&gt;=2026/1",'配当金履歴一覧'!$C:$C,"&lt;=2026/12",'配当金履歴一覧'!$B:$B,$B22)+SUMIFS('配当金履歴一覧'!$H:H,'配当金履歴一覧'!$C:$C,"&gt;=2026/1",'配当金履歴一覧'!$C:$C,"&lt;=2026/12",'配当金履歴一覧'!$B:$B,$B22)</f>
        <v>0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41">
        <v>1928.0</v>
      </c>
      <c r="B23" s="42" t="s">
        <v>16</v>
      </c>
      <c r="C23" s="43">
        <f>SUMIFS('配当金履歴一覧'!$F:F,'配当金履歴一覧'!$C:$C,"&gt;=2024/1",'配当金履歴一覧'!$C:$C,"&lt;=2024/12",'配当金履歴一覧'!$B:$B,$B23)+SUMIFS('配当金履歴一覧'!$H:H,'配当金履歴一覧'!$C:$C,"&gt;=2024/1",'配当金履歴一覧'!$C:$C,"&lt;=2024/12",'配当金履歴一覧'!$B:$B,$B23)</f>
        <v>1658</v>
      </c>
      <c r="D23" s="43">
        <f>SUMIFS('配当金履歴一覧'!$F:F,'配当金履歴一覧'!$C:$C,"&gt;=2025/1",'配当金履歴一覧'!$C:$C,"&lt;=2025/12",'配当金履歴一覧'!$B:$B,$B23)+SUMIFS('配当金履歴一覧'!$H:H,'配当金履歴一覧'!$C:$C,"&gt;=2025/1",'配当金履歴一覧'!$C:$C,"&lt;=2025/12",'配当金履歴一覧'!$B:$B,$B23)</f>
        <v>2642</v>
      </c>
      <c r="E23" s="43">
        <f>SUMIFS('配当金履歴一覧'!$F:F,'配当金履歴一覧'!$C:$C,"&gt;=2026/1",'配当金履歴一覧'!$C:$C,"&lt;=2026/12",'配当金履歴一覧'!$B:$B,$B23)+SUMIFS('配当金履歴一覧'!$H:H,'配当金履歴一覧'!$C:$C,"&gt;=2026/1",'配当金履歴一覧'!$C:$C,"&lt;=2026/12",'配当金履歴一覧'!$B:$B,$B23)</f>
        <v>0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41">
        <v>2124.0</v>
      </c>
      <c r="B24" s="42" t="s">
        <v>17</v>
      </c>
      <c r="C24" s="43">
        <f>SUMIFS('配当金履歴一覧'!$F:F,'配当金履歴一覧'!$C:$C,"&gt;=2024/1",'配当金履歴一覧'!$C:$C,"&lt;=2024/12",'配当金履歴一覧'!$B:$B,$B24)+SUMIFS('配当金履歴一覧'!$H:H,'配当金履歴一覧'!$C:$C,"&gt;=2024/1",'配当金履歴一覧'!$C:$C,"&lt;=2024/12",'配当金履歴一覧'!$B:$B,$B24)</f>
        <v>1148</v>
      </c>
      <c r="D24" s="43">
        <f>SUMIFS('配当金履歴一覧'!$F:F,'配当金履歴一覧'!$C:$C,"&gt;=2025/1",'配当金履歴一覧'!$C:$C,"&lt;=2025/12",'配当金履歴一覧'!$B:$B,$B24)+SUMIFS('配当金履歴一覧'!$H:H,'配当金履歴一覧'!$C:$C,"&gt;=2025/1",'配当金履歴一覧'!$C:$C,"&lt;=2025/12",'配当金履歴一覧'!$B:$B,$B24)</f>
        <v>1587</v>
      </c>
      <c r="E24" s="43">
        <f>SUMIFS('配当金履歴一覧'!$F:F,'配当金履歴一覧'!$C:$C,"&gt;=2026/1",'配当金履歴一覧'!$C:$C,"&lt;=2026/12",'配当金履歴一覧'!$B:$B,$B24)+SUMIFS('配当金履歴一覧'!$H:H,'配当金履歴一覧'!$C:$C,"&gt;=2026/1",'配当金履歴一覧'!$C:$C,"&lt;=2026/12",'配当金履歴一覧'!$B:$B,$B24)</f>
        <v>0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41">
        <v>2503.0</v>
      </c>
      <c r="B25" s="42" t="s">
        <v>18</v>
      </c>
      <c r="C25" s="43">
        <f>SUMIFS('配当金履歴一覧'!$F:F,'配当金履歴一覧'!$C:$C,"&gt;=2024/1",'配当金履歴一覧'!$C:$C,"&lt;=2024/12",'配当金履歴一覧'!$B:$B,$B25)+SUMIFS('配当金履歴一覧'!$H:H,'配当金履歴一覧'!$C:$C,"&gt;=2024/1",'配当金履歴一覧'!$C:$C,"&lt;=2024/12",'配当金履歴一覧'!$B:$B,$B25)</f>
        <v>590</v>
      </c>
      <c r="D25" s="43">
        <f>SUMIFS('配当金履歴一覧'!$F:F,'配当金履歴一覧'!$C:$C,"&gt;=2025/1",'配当金履歴一覧'!$C:$C,"&lt;=2025/12",'配当金履歴一覧'!$B:$B,$B25)+SUMIFS('配当金履歴一覧'!$H:H,'配当金履歴一覧'!$C:$C,"&gt;=2025/1",'配当金履歴一覧'!$C:$C,"&lt;=2025/12",'配当金履歴一覧'!$B:$B,$B25)</f>
        <v>743</v>
      </c>
      <c r="E25" s="43">
        <f>SUMIFS('配当金履歴一覧'!$F:F,'配当金履歴一覧'!$C:$C,"&gt;=2026/1",'配当金履歴一覧'!$C:$C,"&lt;=2026/12",'配当金履歴一覧'!$B:$B,$B25)+SUMIFS('配当金履歴一覧'!$H:H,'配当金履歴一覧'!$C:$C,"&gt;=2026/1",'配当金履歴一覧'!$C:$C,"&lt;=2026/12",'配当金履歴一覧'!$B:$B,$B25)</f>
        <v>0</v>
      </c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41">
        <v>2768.0</v>
      </c>
      <c r="B26" s="42" t="s">
        <v>19</v>
      </c>
      <c r="C26" s="43">
        <f>SUMIFS('配当金履歴一覧'!$F:F,'配当金履歴一覧'!$C:$C,"&gt;=2024/1",'配当金履歴一覧'!$C:$C,"&lt;=2024/12",'配当金履歴一覧'!$B:$B,$B26)+SUMIFS('配当金履歴一覧'!$H:H,'配当金履歴一覧'!$C:$C,"&gt;=2024/1",'配当金履歴一覧'!$C:$C,"&lt;=2024/12",'配当金履歴一覧'!$B:$B,$B26)</f>
        <v>2491</v>
      </c>
      <c r="D26" s="43">
        <f>SUMIFS('配当金履歴一覧'!$F:F,'配当金履歴一覧'!$C:$C,"&gt;=2025/1",'配当金履歴一覧'!$C:$C,"&lt;=2025/12",'配当金履歴一覧'!$B:$B,$B26)+SUMIFS('配当金履歴一覧'!$H:H,'配当金履歴一覧'!$C:$C,"&gt;=2025/1",'配当金履歴一覧'!$C:$C,"&lt;=2025/12",'配当金履歴一覧'!$B:$B,$B26)</f>
        <v>3958</v>
      </c>
      <c r="E26" s="43">
        <f>SUMIFS('配当金履歴一覧'!$F:F,'配当金履歴一覧'!$C:$C,"&gt;=2026/1",'配当金履歴一覧'!$C:$C,"&lt;=2026/12",'配当金履歴一覧'!$B:$B,$B26)+SUMIFS('配当金履歴一覧'!$H:H,'配当金履歴一覧'!$C:$C,"&gt;=2026/1",'配当金履歴一覧'!$C:$C,"&lt;=2026/12",'配当金履歴一覧'!$B:$B,$B26)</f>
        <v>0</v>
      </c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41">
        <v>2914.0</v>
      </c>
      <c r="B27" s="42" t="s">
        <v>20</v>
      </c>
      <c r="C27" s="43">
        <f>SUMIFS('配当金履歴一覧'!$F:F,'配当金履歴一覧'!$C:$C,"&gt;=2024/1",'配当金履歴一覧'!$C:$C,"&lt;=2024/12",'配当金履歴一覧'!$B:$B,$B27)+SUMIFS('配当金履歴一覧'!$H:H,'配当金履歴一覧'!$C:$C,"&gt;=2024/1",'配当金履歴一覧'!$C:$C,"&lt;=2024/12",'配当金履歴一覧'!$B:$B,$B27)</f>
        <v>291</v>
      </c>
      <c r="D27" s="43">
        <f>SUMIFS('配当金履歴一覧'!$F:F,'配当金履歴一覧'!$C:$C,"&gt;=2025/1",'配当金履歴一覧'!$C:$C,"&lt;=2025/12",'配当金履歴一覧'!$B:$B,$B27)+SUMIFS('配当金履歴一覧'!$H:H,'配当金履歴一覧'!$C:$C,"&gt;=2025/1",'配当金履歴一覧'!$C:$C,"&lt;=2025/12",'配当金履歴一覧'!$B:$B,$B27)</f>
        <v>1109</v>
      </c>
      <c r="E27" s="43">
        <f>SUMIFS('配当金履歴一覧'!$F:F,'配当金履歴一覧'!$C:$C,"&gt;=2026/1",'配当金履歴一覧'!$C:$C,"&lt;=2026/12",'配当金履歴一覧'!$B:$B,$B27)+SUMIFS('配当金履歴一覧'!$H:H,'配当金履歴一覧'!$C:$C,"&gt;=2026/1",'配当金履歴一覧'!$C:$C,"&lt;=2026/12",'配当金履歴一覧'!$B:$B,$B27)</f>
        <v>0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41">
        <v>3003.0</v>
      </c>
      <c r="B28" s="42" t="s">
        <v>21</v>
      </c>
      <c r="C28" s="43">
        <f>SUMIFS('配当金履歴一覧'!$F:F,'配当金履歴一覧'!$C:$C,"&gt;=2024/1",'配当金履歴一覧'!$C:$C,"&lt;=2024/12",'配当金履歴一覧'!$B:$B,$B28)+SUMIFS('配当金履歴一覧'!$H:H,'配当金履歴一覧'!$C:$C,"&gt;=2024/1",'配当金履歴一覧'!$C:$C,"&lt;=2024/12",'配当金履歴一覧'!$B:$B,$B28)</f>
        <v>104</v>
      </c>
      <c r="D28" s="43">
        <f>SUMIFS('配当金履歴一覧'!$F:F,'配当金履歴一覧'!$C:$C,"&gt;=2025/1",'配当金履歴一覧'!$C:$C,"&lt;=2025/12",'配当金履歴一覧'!$B:$B,$B28)+SUMIFS('配当金履歴一覧'!$H:H,'配当金履歴一覧'!$C:$C,"&gt;=2025/1",'配当金履歴一覧'!$C:$C,"&lt;=2025/12",'配当金履歴一覧'!$B:$B,$B28)</f>
        <v>622</v>
      </c>
      <c r="E28" s="43">
        <f>SUMIFS('配当金履歴一覧'!$F:F,'配当金履歴一覧'!$C:$C,"&gt;=2026/1",'配当金履歴一覧'!$C:$C,"&lt;=2026/12",'配当金履歴一覧'!$B:$B,$B28)+SUMIFS('配当金履歴一覧'!$H:H,'配当金履歴一覧'!$C:$C,"&gt;=2026/1",'配当金履歴一覧'!$C:$C,"&lt;=2026/12",'配当金履歴一覧'!$B:$B,$B28)</f>
        <v>0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41">
        <v>4042.0</v>
      </c>
      <c r="B29" s="42" t="s">
        <v>22</v>
      </c>
      <c r="C29" s="43">
        <f>SUMIFS('配当金履歴一覧'!$F:F,'配当金履歴一覧'!$C:$C,"&gt;=2024/1",'配当金履歴一覧'!$C:$C,"&lt;=2024/12",'配当金履歴一覧'!$B:$B,$B29)+SUMIFS('配当金履歴一覧'!$H:H,'配当金履歴一覧'!$C:$C,"&gt;=2024/1",'配当金履歴一覧'!$C:$C,"&lt;=2024/12",'配当金履歴一覧'!$B:$B,$B29)</f>
        <v>0</v>
      </c>
      <c r="D29" s="43">
        <f>SUMIFS('配当金履歴一覧'!$F:F,'配当金履歴一覧'!$C:$C,"&gt;=2025/1",'配当金履歴一覧'!$C:$C,"&lt;=2025/12",'配当金履歴一覧'!$B:$B,$B29)+SUMIFS('配当金履歴一覧'!$H:H,'配当金履歴一覧'!$C:$C,"&gt;=2025/1",'配当金履歴一覧'!$C:$C,"&lt;=2025/12",'配当金履歴一覧'!$B:$B,$B29)</f>
        <v>0</v>
      </c>
      <c r="E29" s="43">
        <f>SUMIFS('配当金履歴一覧'!$F:F,'配当金履歴一覧'!$C:$C,"&gt;=2026/1",'配当金履歴一覧'!$C:$C,"&lt;=2026/12",'配当金履歴一覧'!$B:$B,$B29)+SUMIFS('配当金履歴一覧'!$H:H,'配当金履歴一覧'!$C:$C,"&gt;=2026/1",'配当金履歴一覧'!$C:$C,"&lt;=2026/12",'配当金履歴一覧'!$B:$B,$B29)</f>
        <v>0</v>
      </c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41">
        <v>4452.0</v>
      </c>
      <c r="B30" s="42" t="s">
        <v>23</v>
      </c>
      <c r="C30" s="43">
        <f>SUMIFS('配当金履歴一覧'!$F:F,'配当金履歴一覧'!$C:$C,"&gt;=2024/1",'配当金履歴一覧'!$C:$C,"&lt;=2024/12",'配当金履歴一覧'!$B:$B,$B30)+SUMIFS('配当金履歴一覧'!$H:H,'配当金履歴一覧'!$C:$C,"&gt;=2024/1",'配当金履歴一覧'!$C:$C,"&lt;=2024/12",'配当金履歴一覧'!$B:$B,$B30)</f>
        <v>152</v>
      </c>
      <c r="D30" s="43">
        <f>SUMIFS('配当金履歴一覧'!$F:F,'配当金履歴一覧'!$C:$C,"&gt;=2025/1",'配当金履歴一覧'!$C:$C,"&lt;=2025/12",'配当金履歴一覧'!$B:$B,$B30)+SUMIFS('配当金履歴一覧'!$H:H,'配当金履歴一覧'!$C:$C,"&gt;=2025/1",'配当金履歴一覧'!$C:$C,"&lt;=2025/12",'配当金履歴一覧'!$B:$B,$B30)</f>
        <v>689</v>
      </c>
      <c r="E30" s="43">
        <f>SUMIFS('配当金履歴一覧'!$F:F,'配当金履歴一覧'!$C:$C,"&gt;=2026/1",'配当金履歴一覧'!$C:$C,"&lt;=2026/12",'配当金履歴一覧'!$B:$B,$B30)+SUMIFS('配当金履歴一覧'!$H:H,'配当金履歴一覧'!$C:$C,"&gt;=2026/1",'配当金履歴一覧'!$C:$C,"&lt;=2026/12",'配当金履歴一覧'!$B:$B,$B30)</f>
        <v>0</v>
      </c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41">
        <v>4502.0</v>
      </c>
      <c r="B31" s="42" t="s">
        <v>24</v>
      </c>
      <c r="C31" s="43">
        <f>SUMIFS('配当金履歴一覧'!$F:F,'配当金履歴一覧'!$C:$C,"&gt;=2024/1",'配当金履歴一覧'!$C:$C,"&lt;=2024/12",'配当金履歴一覧'!$B:$B,$B31)+SUMIFS('配当金履歴一覧'!$H:H,'配当金履歴一覧'!$C:$C,"&gt;=2024/1",'配当金履歴一覧'!$C:$C,"&lt;=2024/12",'配当金履歴一覧'!$B:$B,$B31)</f>
        <v>4273</v>
      </c>
      <c r="D31" s="43">
        <f>SUMIFS('配当金履歴一覧'!$F:F,'配当金履歴一覧'!$C:$C,"&gt;=2025/1",'配当金履歴一覧'!$C:$C,"&lt;=2025/12",'配当金履歴一覧'!$B:$B,$B31)+SUMIFS('配当金履歴一覧'!$H:H,'配当金履歴一覧'!$C:$C,"&gt;=2025/1",'配当金履歴一覧'!$C:$C,"&lt;=2025/12",'配当金履歴一覧'!$B:$B,$B31)</f>
        <v>5293</v>
      </c>
      <c r="E31" s="43">
        <f>SUMIFS('配当金履歴一覧'!$F:F,'配当金履歴一覧'!$C:$C,"&gt;=2026/1",'配当金履歴一覧'!$C:$C,"&lt;=2026/12",'配当金履歴一覧'!$B:$B,$B31)+SUMIFS('配当金履歴一覧'!$H:H,'配当金履歴一覧'!$C:$C,"&gt;=2026/1",'配当金履歴一覧'!$C:$C,"&lt;=2026/12",'配当金履歴一覧'!$B:$B,$B31)</f>
        <v>0</v>
      </c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41">
        <v>5020.0</v>
      </c>
      <c r="B32" s="42" t="s">
        <v>25</v>
      </c>
      <c r="C32" s="43">
        <f>SUMIFS('配当金履歴一覧'!$F:F,'配当金履歴一覧'!$C:$C,"&gt;=2024/1",'配当金履歴一覧'!$C:$C,"&lt;=2024/12",'配当金履歴一覧'!$B:$B,$B32)+SUMIFS('配当金履歴一覧'!$H:H,'配当金履歴一覧'!$C:$C,"&gt;=2024/1",'配当金履歴一覧'!$C:$C,"&lt;=2024/12",'配当金履歴一覧'!$B:$B,$B32)</f>
        <v>74</v>
      </c>
      <c r="D32" s="43">
        <f>SUMIFS('配当金履歴一覧'!$F:F,'配当金履歴一覧'!$C:$C,"&gt;=2025/1",'配当金履歴一覧'!$C:$C,"&lt;=2025/12",'配当金履歴一覧'!$B:$B,$B32)+SUMIFS('配当金履歴一覧'!$H:H,'配当金履歴一覧'!$C:$C,"&gt;=2025/1",'配当金履歴一覧'!$C:$C,"&lt;=2025/12",'配当金履歴一覧'!$B:$B,$B32)</f>
        <v>290</v>
      </c>
      <c r="E32" s="43">
        <f>SUMIFS('配当金履歴一覧'!$F:F,'配当金履歴一覧'!$C:$C,"&gt;=2026/1",'配当金履歴一覧'!$C:$C,"&lt;=2026/12",'配当金履歴一覧'!$B:$B,$B32)+SUMIFS('配当金履歴一覧'!$H:H,'配当金履歴一覧'!$C:$C,"&gt;=2026/1",'配当金履歴一覧'!$C:$C,"&lt;=2026/12",'配当金履歴一覧'!$B:$B,$B32)</f>
        <v>0</v>
      </c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41">
        <v>5108.0</v>
      </c>
      <c r="B33" s="42" t="s">
        <v>26</v>
      </c>
      <c r="C33" s="43">
        <f>SUMIFS('配当金履歴一覧'!$F:F,'配当金履歴一覧'!$C:$C,"&gt;=2024/1",'配当金履歴一覧'!$C:$C,"&lt;=2024/12",'配当金履歴一覧'!$B:$B,$B33)+SUMIFS('配当金履歴一覧'!$H:H,'配当金履歴一覧'!$C:$C,"&gt;=2024/1",'配当金履歴一覧'!$C:$C,"&lt;=2024/12",'配当金履歴一覧'!$B:$B,$B33)</f>
        <v>0</v>
      </c>
      <c r="D33" s="43">
        <f>SUMIFS('配当金履歴一覧'!$F:F,'配当金履歴一覧'!$C:$C,"&gt;=2025/1",'配当金履歴一覧'!$C:$C,"&lt;=2025/12",'配当金履歴一覧'!$B:$B,$B33)+SUMIFS('配当金履歴一覧'!$H:H,'配当金履歴一覧'!$C:$C,"&gt;=2025/1",'配当金履歴一覧'!$C:$C,"&lt;=2025/12",'配当金履歴一覧'!$B:$B,$B33)</f>
        <v>460</v>
      </c>
      <c r="E33" s="43">
        <f>SUMIFS('配当金履歴一覧'!$F:F,'配当金履歴一覧'!$C:$C,"&gt;=2026/1",'配当金履歴一覧'!$C:$C,"&lt;=2026/12",'配当金履歴一覧'!$B:$B,$B33)+SUMIFS('配当金履歴一覧'!$H:H,'配当金履歴一覧'!$C:$C,"&gt;=2026/1",'配当金履歴一覧'!$C:$C,"&lt;=2026/12",'配当金履歴一覧'!$B:$B,$B33)</f>
        <v>0</v>
      </c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41">
        <v>5401.0</v>
      </c>
      <c r="B34" s="42" t="s">
        <v>27</v>
      </c>
      <c r="C34" s="43">
        <f>SUMIFS('配当金履歴一覧'!$F:F,'配当金履歴一覧'!$C:$C,"&gt;=2024/1",'配当金履歴一覧'!$C:$C,"&lt;=2024/12",'配当金履歴一覧'!$B:$B,$B34)+SUMIFS('配当金履歴一覧'!$H:H,'配当金履歴一覧'!$C:$C,"&gt;=2024/1",'配当金履歴一覧'!$C:$C,"&lt;=2024/12",'配当金履歴一覧'!$B:$B,$B34)</f>
        <v>0</v>
      </c>
      <c r="D34" s="43">
        <f>SUMIFS('配当金履歴一覧'!$F:F,'配当金履歴一覧'!$C:$C,"&gt;=2025/1",'配当金履歴一覧'!$C:$C,"&lt;=2025/12",'配当金履歴一覧'!$B:$B,$B34)+SUMIFS('配当金履歴一覧'!$H:H,'配当金履歴一覧'!$C:$C,"&gt;=2025/1",'配当金履歴一覧'!$C:$C,"&lt;=2025/12",'配当金履歴一覧'!$B:$B,$B34)</f>
        <v>0</v>
      </c>
      <c r="E34" s="43">
        <f>SUMIFS('配当金履歴一覧'!$F:F,'配当金履歴一覧'!$C:$C,"&gt;=2026/1",'配当金履歴一覧'!$C:$C,"&lt;=2026/12",'配当金履歴一覧'!$B:$B,$B34)+SUMIFS('配当金履歴一覧'!$H:H,'配当金履歴一覧'!$C:$C,"&gt;=2026/1",'配当金履歴一覧'!$C:$C,"&lt;=2026/12",'配当金履歴一覧'!$B:$B,$B34)</f>
        <v>0</v>
      </c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41">
        <v>6301.0</v>
      </c>
      <c r="B35" s="42" t="s">
        <v>28</v>
      </c>
      <c r="C35" s="43">
        <f>SUMIFS('配当金履歴一覧'!$F:F,'配当金履歴一覧'!$C:$C,"&gt;=2024/1",'配当金履歴一覧'!$C:$C,"&lt;=2024/12",'配当金履歴一覧'!$B:$B,$B35)+SUMIFS('配当金履歴一覧'!$H:H,'配当金履歴一覧'!$C:$C,"&gt;=2024/1",'配当金履歴一覧'!$C:$C,"&lt;=2024/12",'配当金履歴一覧'!$B:$B,$B35)</f>
        <v>0</v>
      </c>
      <c r="D35" s="43">
        <f>SUMIFS('配当金履歴一覧'!$F:F,'配当金履歴一覧'!$C:$C,"&gt;=2025/1",'配当金履歴一覧'!$C:$C,"&lt;=2025/12",'配当金履歴一覧'!$B:$B,$B35)+SUMIFS('配当金履歴一覧'!$H:H,'配当金履歴一覧'!$C:$C,"&gt;=2025/1",'配当金履歴一覧'!$C:$C,"&lt;=2025/12",'配当金履歴一覧'!$B:$B,$B35)</f>
        <v>1069</v>
      </c>
      <c r="E35" s="43">
        <f>SUMIFS('配当金履歴一覧'!$F:F,'配当金履歴一覧'!$C:$C,"&gt;=2026/1",'配当金履歴一覧'!$C:$C,"&lt;=2026/12",'配当金履歴一覧'!$B:$B,$B35)+SUMIFS('配当金履歴一覧'!$H:H,'配当金履歴一覧'!$C:$C,"&gt;=2026/1",'配当金履歴一覧'!$C:$C,"&lt;=2026/12",'配当金履歴一覧'!$B:$B,$B35)</f>
        <v>0</v>
      </c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41">
        <v>7177.0</v>
      </c>
      <c r="B36" s="42" t="s">
        <v>29</v>
      </c>
      <c r="C36" s="43">
        <f>SUMIFS('配当金履歴一覧'!$F:F,'配当金履歴一覧'!$C:$C,"&gt;=2024/1",'配当金履歴一覧'!$C:$C,"&lt;=2024/12",'配当金履歴一覧'!$B:$B,$B36)+SUMIFS('配当金履歴一覧'!$H:H,'配当金履歴一覧'!$C:$C,"&gt;=2024/1",'配当金履歴一覧'!$C:$C,"&lt;=2024/12",'配当金履歴一覧'!$B:$B,$B36)</f>
        <v>559</v>
      </c>
      <c r="D36" s="43">
        <f>SUMIFS('配当金履歴一覧'!$F:F,'配当金履歴一覧'!$C:$C,"&gt;=2025/1",'配当金履歴一覧'!$C:$C,"&lt;=2025/12",'配当金履歴一覧'!$B:$B,$B36)+SUMIFS('配当金履歴一覧'!$H:H,'配当金履歴一覧'!$C:$C,"&gt;=2025/1",'配当金履歴一覧'!$C:$C,"&lt;=2025/12",'配当金履歴一覧'!$B:$B,$B36)</f>
        <v>1088</v>
      </c>
      <c r="E36" s="43">
        <f>SUMIFS('配当金履歴一覧'!$F:F,'配当金履歴一覧'!$C:$C,"&gt;=2026/1",'配当金履歴一覧'!$C:$C,"&lt;=2026/12",'配当金履歴一覧'!$B:$B,$B36)+SUMIFS('配当金履歴一覧'!$H:H,'配当金履歴一覧'!$C:$C,"&gt;=2026/1",'配当金履歴一覧'!$C:$C,"&lt;=2026/12",'配当金履歴一覧'!$B:$B,$B36)</f>
        <v>0</v>
      </c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41">
        <v>7751.0</v>
      </c>
      <c r="B37" s="42" t="s">
        <v>30</v>
      </c>
      <c r="C37" s="43">
        <f>SUMIFS('配当金履歴一覧'!$F:F,'配当金履歴一覧'!$C:$C,"&gt;=2024/1",'配当金履歴一覧'!$C:$C,"&lt;=2024/12",'配当金履歴一覧'!$B:$B,$B37)+SUMIFS('配当金履歴一覧'!$H:H,'配当金履歴一覧'!$C:$C,"&gt;=2024/1",'配当金履歴一覧'!$C:$C,"&lt;=2024/12",'配当金履歴一覧'!$B:$B,$B37)</f>
        <v>458</v>
      </c>
      <c r="D37" s="43">
        <f>SUMIFS('配当金履歴一覧'!$F:F,'配当金履歴一覧'!$C:$C,"&gt;=2025/1",'配当金履歴一覧'!$C:$C,"&lt;=2025/12",'配当金履歴一覧'!$B:$B,$B37)+SUMIFS('配当金履歴一覧'!$H:H,'配当金履歴一覧'!$C:$C,"&gt;=2025/1",'配当金履歴一覧'!$C:$C,"&lt;=2025/12",'配当金履歴一覧'!$B:$B,$B37)</f>
        <v>896</v>
      </c>
      <c r="E37" s="43">
        <f>SUMIFS('配当金履歴一覧'!$F:F,'配当金履歴一覧'!$C:$C,"&gt;=2026/1",'配当金履歴一覧'!$C:$C,"&lt;=2026/12",'配当金履歴一覧'!$B:$B,$B37)+SUMIFS('配当金履歴一覧'!$H:H,'配当金履歴一覧'!$C:$C,"&gt;=2026/1",'配当金履歴一覧'!$C:$C,"&lt;=2026/12",'配当金履歴一覧'!$B:$B,$B37)</f>
        <v>0</v>
      </c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41">
        <v>8001.0</v>
      </c>
      <c r="B38" s="42" t="s">
        <v>31</v>
      </c>
      <c r="C38" s="43">
        <f>SUMIFS('配当金履歴一覧'!$F:F,'配当金履歴一覧'!$C:$C,"&gt;=2024/1",'配当金履歴一覧'!$C:$C,"&lt;=2024/12",'配当金履歴一覧'!$B:$B,$B38)+SUMIFS('配当金履歴一覧'!$H:H,'配当金履歴一覧'!$C:$C,"&gt;=2024/1",'配当金履歴一覧'!$C:$C,"&lt;=2024/12",'配当金履歴一覧'!$B:$B,$B38)</f>
        <v>962</v>
      </c>
      <c r="D38" s="43">
        <f>SUMIFS('配当金履歴一覧'!$F:F,'配当金履歴一覧'!$C:$C,"&gt;=2025/1",'配当金履歴一覧'!$C:$C,"&lt;=2025/12",'配当金履歴一覧'!$B:$B,$B38)+SUMIFS('配当金履歴一覧'!$H:H,'配当金履歴一覧'!$C:$C,"&gt;=2025/1",'配当金履歴一覧'!$C:$C,"&lt;=2025/12",'配当金履歴一覧'!$B:$B,$B38)</f>
        <v>1558</v>
      </c>
      <c r="E38" s="43">
        <f>SUMIFS('配当金履歴一覧'!$F:F,'配当金履歴一覧'!$C:$C,"&gt;=2026/1",'配当金履歴一覧'!$C:$C,"&lt;=2026/12",'配当金履歴一覧'!$B:$B,$B38)+SUMIFS('配当金履歴一覧'!$H:H,'配当金履歴一覧'!$C:$C,"&gt;=2026/1",'配当金履歴一覧'!$C:$C,"&lt;=2026/12",'配当金履歴一覧'!$B:$B,$B38)</f>
        <v>0</v>
      </c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41">
        <v>8002.0</v>
      </c>
      <c r="B39" s="42" t="s">
        <v>32</v>
      </c>
      <c r="C39" s="43">
        <f>SUMIFS('配当金履歴一覧'!$F:F,'配当金履歴一覧'!$C:$C,"&gt;=2024/1",'配当金履歴一覧'!$C:$C,"&lt;=2024/12",'配当金履歴一覧'!$B:$B,$B39)+SUMIFS('配当金履歴一覧'!$H:H,'配当金履歴一覧'!$C:$C,"&gt;=2024/1",'配当金履歴一覧'!$C:$C,"&lt;=2024/12",'配当金履歴一覧'!$B:$B,$B39)</f>
        <v>992</v>
      </c>
      <c r="D39" s="43">
        <f>SUMIFS('配当金履歴一覧'!$F:F,'配当金履歴一覧'!$C:$C,"&gt;=2025/1",'配当金履歴一覧'!$C:$C,"&lt;=2025/12",'配当金履歴一覧'!$B:$B,$B39)+SUMIFS('配当金履歴一覧'!$H:H,'配当金履歴一覧'!$C:$C,"&gt;=2025/1",'配当金履歴一覧'!$C:$C,"&lt;=2025/12",'配当金履歴一覧'!$B:$B,$B39)</f>
        <v>1520</v>
      </c>
      <c r="E39" s="43">
        <f>SUMIFS('配当金履歴一覧'!$F:F,'配当金履歴一覧'!$C:$C,"&gt;=2026/1",'配当金履歴一覧'!$C:$C,"&lt;=2026/12",'配当金履歴一覧'!$B:$B,$B39)+SUMIFS('配当金履歴一覧'!$H:H,'配当金履歴一覧'!$C:$C,"&gt;=2026/1",'配当金履歴一覧'!$C:$C,"&lt;=2026/12",'配当金履歴一覧'!$B:$B,$B39)</f>
        <v>0</v>
      </c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41">
        <v>8031.0</v>
      </c>
      <c r="B40" s="42" t="s">
        <v>33</v>
      </c>
      <c r="C40" s="43">
        <f>SUMIFS('配当金履歴一覧'!$F:F,'配当金履歴一覧'!$C:$C,"&gt;=2024/1",'配当金履歴一覧'!$C:$C,"&lt;=2024/12",'配当金履歴一覧'!$B:$B,$B40)+SUMIFS('配当金履歴一覧'!$H:H,'配当金履歴一覧'!$C:$C,"&gt;=2024/1",'配当金履歴一覧'!$C:$C,"&lt;=2024/12",'配当金履歴一覧'!$B:$B,$B40)</f>
        <v>2005</v>
      </c>
      <c r="D40" s="43">
        <f>SUMIFS('配当金履歴一覧'!$F:F,'配当金履歴一覧'!$C:$C,"&gt;=2025/1",'配当金履歴一覧'!$C:$C,"&lt;=2025/12",'配当金履歴一覧'!$B:$B,$B40)+SUMIFS('配当金履歴一覧'!$H:H,'配当金履歴一覧'!$C:$C,"&gt;=2025/1",'配当金履歴一覧'!$C:$C,"&lt;=2025/12",'配当金履歴一覧'!$B:$B,$B40)</f>
        <v>2694</v>
      </c>
      <c r="E40" s="43">
        <f>SUMIFS('配当金履歴一覧'!$F:F,'配当金履歴一覧'!$C:$C,"&gt;=2026/1",'配当金履歴一覧'!$C:$C,"&lt;=2026/12",'配当金履歴一覧'!$B:$B,$B40)+SUMIFS('配当金履歴一覧'!$H:H,'配当金履歴一覧'!$C:$C,"&gt;=2026/1",'配当金履歴一覧'!$C:$C,"&lt;=2026/12",'配当金履歴一覧'!$B:$B,$B40)</f>
        <v>0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41">
        <v>8053.0</v>
      </c>
      <c r="B41" s="42" t="s">
        <v>34</v>
      </c>
      <c r="C41" s="43">
        <f>SUMIFS('配当金履歴一覧'!$F:F,'配当金履歴一覧'!$C:$C,"&gt;=2024/1",'配当金履歴一覧'!$C:$C,"&lt;=2024/12",'配当金履歴一覧'!$B:$B,$B41)+SUMIFS('配当金履歴一覧'!$H:H,'配当金履歴一覧'!$C:$C,"&gt;=2024/1",'配当金履歴一覧'!$C:$C,"&lt;=2024/12",'配当金履歴一覧'!$B:$B,$B41)</f>
        <v>1235</v>
      </c>
      <c r="D41" s="43">
        <f>SUMIFS('配当金履歴一覧'!$F:F,'配当金履歴一覧'!$C:$C,"&gt;=2025/1",'配当金履歴一覧'!$C:$C,"&lt;=2025/12",'配当金履歴一覧'!$B:$B,$B41)+SUMIFS('配当金履歴一覧'!$H:H,'配当金履歴一覧'!$C:$C,"&gt;=2025/1",'配当金履歴一覧'!$C:$C,"&lt;=2025/12",'配当金履歴一覧'!$B:$B,$B41)</f>
        <v>1855</v>
      </c>
      <c r="E41" s="43">
        <f>SUMIFS('配当金履歴一覧'!$F:F,'配当金履歴一覧'!$C:$C,"&gt;=2026/1",'配当金履歴一覧'!$C:$C,"&lt;=2026/12",'配当金履歴一覧'!$B:$B,$B41)+SUMIFS('配当金履歴一覧'!$H:H,'配当金履歴一覧'!$C:$C,"&gt;=2026/1",'配当金履歴一覧'!$C:$C,"&lt;=2026/12",'配当金履歴一覧'!$B:$B,$B41)</f>
        <v>0</v>
      </c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41">
        <v>8058.0</v>
      </c>
      <c r="B42" s="42" t="s">
        <v>35</v>
      </c>
      <c r="C42" s="43">
        <f>SUMIFS('配当金履歴一覧'!$F:F,'配当金履歴一覧'!$C:$C,"&gt;=2024/1",'配当金履歴一覧'!$C:$C,"&lt;=2024/12",'配当金履歴一覧'!$B:$B,$B42)+SUMIFS('配当金履歴一覧'!$H:H,'配当金履歴一覧'!$C:$C,"&gt;=2024/1",'配当金履歴一覧'!$C:$C,"&lt;=2024/12",'配当金履歴一覧'!$B:$B,$B42)</f>
        <v>1018</v>
      </c>
      <c r="D42" s="43">
        <f>SUMIFS('配当金履歴一覧'!$F:F,'配当金履歴一覧'!$C:$C,"&gt;=2025/1",'配当金履歴一覧'!$C:$C,"&lt;=2025/12",'配当金履歴一覧'!$B:$B,$B42)+SUMIFS('配当金履歴一覧'!$H:H,'配当金履歴一覧'!$C:$C,"&gt;=2025/1",'配当金履歴一覧'!$C:$C,"&lt;=2025/12",'配当金履歴一覧'!$B:$B,$B42)</f>
        <v>2052</v>
      </c>
      <c r="E42" s="43">
        <f>SUMIFS('配当金履歴一覧'!$F:F,'配当金履歴一覧'!$C:$C,"&gt;=2026/1",'配当金履歴一覧'!$C:$C,"&lt;=2026/12",'配当金履歴一覧'!$B:$B,$B42)+SUMIFS('配当金履歴一覧'!$H:H,'配当金履歴一覧'!$C:$C,"&gt;=2026/1",'配当金履歴一覧'!$C:$C,"&lt;=2026/12",'配当金履歴一覧'!$B:$B,$B42)</f>
        <v>0</v>
      </c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41">
        <v>8304.0</v>
      </c>
      <c r="B43" s="42" t="s">
        <v>36</v>
      </c>
      <c r="C43" s="43">
        <f>SUMIFS('配当金履歴一覧'!$F:F,'配当金履歴一覧'!$C:$C,"&gt;=2024/1",'配当金履歴一覧'!$C:$C,"&lt;=2024/12",'配当金履歴一覧'!$B:$B,$B43)+SUMIFS('配当金履歴一覧'!$H:H,'配当金履歴一覧'!$C:$C,"&gt;=2024/1",'配当金履歴一覧'!$C:$C,"&lt;=2024/12",'配当金履歴一覧'!$B:$B,$B43)</f>
        <v>228</v>
      </c>
      <c r="D43" s="43">
        <f>SUMIFS('配当金履歴一覧'!$F:F,'配当金履歴一覧'!$C:$C,"&gt;=2025/1",'配当金履歴一覧'!$C:$C,"&lt;=2025/12",'配当金履歴一覧'!$B:$B,$B43)+SUMIFS('配当金履歴一覧'!$H:H,'配当金履歴一覧'!$C:$C,"&gt;=2025/1",'配当金履歴一覧'!$C:$C,"&lt;=2025/12",'配当金履歴一覧'!$B:$B,$B43)</f>
        <v>664</v>
      </c>
      <c r="E43" s="43">
        <f>SUMIFS('配当金履歴一覧'!$F:F,'配当金履歴一覧'!$C:$C,"&gt;=2026/1",'配当金履歴一覧'!$C:$C,"&lt;=2026/12",'配当金履歴一覧'!$B:$B,$B43)+SUMIFS('配当金履歴一覧'!$H:H,'配当金履歴一覧'!$C:$C,"&gt;=2026/1",'配当金履歴一覧'!$C:$C,"&lt;=2026/12",'配当金履歴一覧'!$B:$B,$B43)</f>
        <v>0</v>
      </c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41">
        <v>8306.0</v>
      </c>
      <c r="B44" s="42" t="s">
        <v>37</v>
      </c>
      <c r="C44" s="43">
        <f>SUMIFS('配当金履歴一覧'!$F:F,'配当金履歴一覧'!$C:$C,"&gt;=2024/1",'配当金履歴一覧'!$C:$C,"&lt;=2024/12",'配当金履歴一覧'!$B:$B,$B44)+SUMIFS('配当金履歴一覧'!$H:H,'配当金履歴一覧'!$C:$C,"&gt;=2024/1",'配当金履歴一覧'!$C:$C,"&lt;=2024/12",'配当金履歴一覧'!$B:$B,$B44)</f>
        <v>949</v>
      </c>
      <c r="D44" s="43">
        <f>SUMIFS('配当金履歴一覧'!$F:F,'配当金履歴一覧'!$C:$C,"&gt;=2025/1",'配当金履歴一覧'!$C:$C,"&lt;=2025/12",'配当金履歴一覧'!$B:$B,$B44)+SUMIFS('配当金履歴一覧'!$H:H,'配当金履歴一覧'!$C:$C,"&gt;=2025/1",'配当金履歴一覧'!$C:$C,"&lt;=2025/12",'配当金履歴一覧'!$B:$B,$B44)</f>
        <v>1923</v>
      </c>
      <c r="E44" s="43">
        <f>SUMIFS('配当金履歴一覧'!$F:F,'配当金履歴一覧'!$C:$C,"&gt;=2026/1",'配当金履歴一覧'!$C:$C,"&lt;=2026/12",'配当金履歴一覧'!$B:$B,$B44)+SUMIFS('配当金履歴一覧'!$H:H,'配当金履歴一覧'!$C:$C,"&gt;=2026/1",'配当金履歴一覧'!$C:$C,"&lt;=2026/12",'配当金履歴一覧'!$B:$B,$B44)</f>
        <v>0</v>
      </c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41">
        <v>8316.0</v>
      </c>
      <c r="B45" s="42" t="s">
        <v>38</v>
      </c>
      <c r="C45" s="43">
        <f>SUMIFS('配当金履歴一覧'!$F:F,'配当金履歴一覧'!$C:$C,"&gt;=2024/1",'配当金履歴一覧'!$C:$C,"&lt;=2024/12",'配当金履歴一覧'!$B:$B,$B45)+SUMIFS('配当金履歴一覧'!$H:H,'配当金履歴一覧'!$C:$C,"&gt;=2024/1",'配当金履歴一覧'!$C:$C,"&lt;=2024/12",'配当金履歴一覧'!$B:$B,$B45)</f>
        <v>2692</v>
      </c>
      <c r="D45" s="43">
        <f>SUMIFS('配当金履歴一覧'!$F:F,'配当金履歴一覧'!$C:$C,"&gt;=2025/1",'配当金履歴一覧'!$C:$C,"&lt;=2025/12",'配当金履歴一覧'!$B:$B,$B45)+SUMIFS('配当金履歴一覧'!$H:H,'配当金履歴一覧'!$C:$C,"&gt;=2025/1",'配当金履歴一覧'!$C:$C,"&lt;=2025/12",'配当金履歴一覧'!$B:$B,$B45)</f>
        <v>4064</v>
      </c>
      <c r="E45" s="43">
        <f>SUMIFS('配当金履歴一覧'!$F:F,'配当金履歴一覧'!$C:$C,"&gt;=2026/1",'配当金履歴一覧'!$C:$C,"&lt;=2026/12",'配当金履歴一覧'!$B:$B,$B45)+SUMIFS('配当金履歴一覧'!$H:H,'配当金履歴一覧'!$C:$C,"&gt;=2026/1",'配当金履歴一覧'!$C:$C,"&lt;=2026/12",'配当金履歴一覧'!$B:$B,$B45)</f>
        <v>0</v>
      </c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41">
        <v>8410.0</v>
      </c>
      <c r="B46" s="42" t="s">
        <v>39</v>
      </c>
      <c r="C46" s="43">
        <f>SUMIFS('配当金履歴一覧'!$F:F,'配当金履歴一覧'!$C:$C,"&gt;=2024/1",'配当金履歴一覧'!$C:$C,"&lt;=2024/12",'配当金履歴一覧'!$B:$B,$B46)+SUMIFS('配当金履歴一覧'!$H:H,'配当金履歴一覧'!$C:$C,"&gt;=2024/1",'配当金履歴一覧'!$C:$C,"&lt;=2024/12",'配当金履歴一覧'!$B:$B,$B46)</f>
        <v>550</v>
      </c>
      <c r="D46" s="43">
        <f>SUMIFS('配当金履歴一覧'!$F:F,'配当金履歴一覧'!$C:$C,"&gt;=2025/1",'配当金履歴一覧'!$C:$C,"&lt;=2025/12",'配当金履歴一覧'!$B:$B,$B46)+SUMIFS('配当金履歴一覧'!$H:H,'配当金履歴一覧'!$C:$C,"&gt;=2025/1",'配当金履歴一覧'!$C:$C,"&lt;=2025/12",'配当金履歴一覧'!$B:$B,$B46)</f>
        <v>550</v>
      </c>
      <c r="E46" s="43">
        <f>SUMIFS('配当金履歴一覧'!$F:F,'配当金履歴一覧'!$C:$C,"&gt;=2026/1",'配当金履歴一覧'!$C:$C,"&lt;=2026/12",'配当金履歴一覧'!$B:$B,$B46)+SUMIFS('配当金履歴一覧'!$H:H,'配当金履歴一覧'!$C:$C,"&gt;=2026/1",'配当金履歴一覧'!$C:$C,"&lt;=2026/12",'配当金履歴一覧'!$B:$B,$B46)</f>
        <v>0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41">
        <v>8473.0</v>
      </c>
      <c r="B47" s="42" t="s">
        <v>40</v>
      </c>
      <c r="C47" s="43">
        <f>SUMIFS('配当金履歴一覧'!$F:F,'配当金履歴一覧'!$C:$C,"&gt;=2024/1",'配当金履歴一覧'!$C:$C,"&lt;=2024/12",'配当金履歴一覧'!$B:$B,$B47)+SUMIFS('配当金履歴一覧'!$H:H,'配当金履歴一覧'!$C:$C,"&gt;=2024/1",'配当金履歴一覧'!$C:$C,"&lt;=2024/12",'配当金履歴一覧'!$B:$B,$B47)</f>
        <v>1874</v>
      </c>
      <c r="D47" s="43">
        <f>SUMIFS('配当金履歴一覧'!$F:F,'配当金履歴一覧'!$C:$C,"&gt;=2025/1",'配当金履歴一覧'!$C:$C,"&lt;=2025/12",'配当金履歴一覧'!$B:$B,$B47)+SUMIFS('配当金履歴一覧'!$H:H,'配当金履歴一覧'!$C:$C,"&gt;=2025/1",'配当金履歴一覧'!$C:$C,"&lt;=2025/12",'配当金履歴一覧'!$B:$B,$B47)</f>
        <v>3319</v>
      </c>
      <c r="E47" s="43">
        <f>SUMIFS('配当金履歴一覧'!$F:F,'配当金履歴一覧'!$C:$C,"&gt;=2026/1",'配当金履歴一覧'!$C:$C,"&lt;=2026/12",'配当金履歴一覧'!$B:$B,$B47)+SUMIFS('配当金履歴一覧'!$H:H,'配当金履歴一覧'!$C:$C,"&gt;=2026/1",'配当金履歴一覧'!$C:$C,"&lt;=2026/12",'配当金履歴一覧'!$B:$B,$B47)</f>
        <v>0</v>
      </c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41">
        <v>8591.0</v>
      </c>
      <c r="B48" s="42" t="s">
        <v>41</v>
      </c>
      <c r="C48" s="43">
        <f>SUMIFS('配当金履歴一覧'!$F:F,'配当金履歴一覧'!$C:$C,"&gt;=2024/1",'配当金履歴一覧'!$C:$C,"&lt;=2024/12",'配当金履歴一覧'!$B:$B,$B48)+SUMIFS('配当金履歴一覧'!$H:H,'配当金履歴一覧'!$C:$C,"&gt;=2024/1",'配当金履歴一覧'!$C:$C,"&lt;=2024/12",'配当金履歴一覧'!$B:$B,$B48)</f>
        <v>1381</v>
      </c>
      <c r="D48" s="43">
        <f>SUMIFS('配当金履歴一覧'!$F:F,'配当金履歴一覧'!$C:$C,"&gt;=2025/1",'配当金履歴一覧'!$C:$C,"&lt;=2025/12",'配当金履歴一覧'!$B:$B,$B48)+SUMIFS('配当金履歴一覧'!$H:H,'配当金履歴一覧'!$C:$C,"&gt;=2025/1",'配当金履歴一覧'!$C:$C,"&lt;=2025/12",'配当金履歴一覧'!$B:$B,$B48)</f>
        <v>2374</v>
      </c>
      <c r="E48" s="43">
        <f>SUMIFS('配当金履歴一覧'!$F:F,'配当金履歴一覧'!$C:$C,"&gt;=2026/1",'配当金履歴一覧'!$C:$C,"&lt;=2026/12",'配当金履歴一覧'!$B:$B,$B48)+SUMIFS('配当金履歴一覧'!$H:H,'配当金履歴一覧'!$C:$C,"&gt;=2026/1",'配当金履歴一覧'!$C:$C,"&lt;=2026/12",'配当金履歴一覧'!$B:$B,$B48)</f>
        <v>0</v>
      </c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41">
        <v>8593.0</v>
      </c>
      <c r="B49" s="42" t="s">
        <v>42</v>
      </c>
      <c r="C49" s="43">
        <f>SUMIFS('配当金履歴一覧'!$F:F,'配当金履歴一覧'!$C:$C,"&gt;=2024/1",'配当金履歴一覧'!$C:$C,"&lt;=2024/12",'配当金履歴一覧'!$B:$B,$B49)+SUMIFS('配当金履歴一覧'!$H:H,'配当金履歴一覧'!$C:$C,"&gt;=2024/1",'配当金履歴一覧'!$C:$C,"&lt;=2024/12",'配当金履歴一覧'!$B:$B,$B49)</f>
        <v>392</v>
      </c>
      <c r="D49" s="43">
        <f>SUMIFS('配当金履歴一覧'!$F:F,'配当金履歴一覧'!$C:$C,"&gt;=2025/1",'配当金履歴一覧'!$C:$C,"&lt;=2025/12",'配当金履歴一覧'!$B:$B,$B49)+SUMIFS('配当金履歴一覧'!$H:H,'配当金履歴一覧'!$C:$C,"&gt;=2025/1",'配当金履歴一覧'!$C:$C,"&lt;=2025/12",'配当金履歴一覧'!$B:$B,$B49)</f>
        <v>588</v>
      </c>
      <c r="E49" s="43">
        <f>SUMIFS('配当金履歴一覧'!$F:F,'配当金履歴一覧'!$C:$C,"&gt;=2026/1",'配当金履歴一覧'!$C:$C,"&lt;=2026/12",'配当金履歴一覧'!$B:$B,$B49)+SUMIFS('配当金履歴一覧'!$H:H,'配当金履歴一覧'!$C:$C,"&gt;=2026/1",'配当金履歴一覧'!$C:$C,"&lt;=2026/12",'配当金履歴一覧'!$B:$B,$B49)</f>
        <v>0</v>
      </c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41">
        <v>8630.0</v>
      </c>
      <c r="B50" s="42" t="s">
        <v>43</v>
      </c>
      <c r="C50" s="43">
        <f>SUMIFS('配当金履歴一覧'!$F:F,'配当金履歴一覧'!$C:$C,"&gt;=2024/1",'配当金履歴一覧'!$C:$C,"&lt;=2024/12",'配当金履歴一覧'!$B:$B,$B50)+SUMIFS('配当金履歴一覧'!$H:H,'配当金履歴一覧'!$C:$C,"&gt;=2024/1",'配当金履歴一覧'!$C:$C,"&lt;=2024/12",'配当金履歴一覧'!$B:$B,$B50)</f>
        <v>3013</v>
      </c>
      <c r="D50" s="43">
        <f>SUMIFS('配当金履歴一覧'!$F:F,'配当金履歴一覧'!$C:$C,"&gt;=2025/1",'配当金履歴一覧'!$C:$C,"&lt;=2025/12",'配当金履歴一覧'!$B:$B,$B50)+SUMIFS('配当金履歴一覧'!$H:H,'配当金履歴一覧'!$C:$C,"&gt;=2025/1",'配当金履歴一覧'!$C:$C,"&lt;=2025/12",'配当金履歴一覧'!$B:$B,$B50)</f>
        <v>4802</v>
      </c>
      <c r="E50" s="43">
        <f>SUMIFS('配当金履歴一覧'!$F:F,'配当金履歴一覧'!$C:$C,"&gt;=2026/1",'配当金履歴一覧'!$C:$C,"&lt;=2026/12",'配当金履歴一覧'!$B:$B,$B50)+SUMIFS('配当金履歴一覧'!$H:H,'配当金履歴一覧'!$C:$C,"&gt;=2026/1",'配当金履歴一覧'!$C:$C,"&lt;=2026/12",'配当金履歴一覧'!$B:$B,$B50)</f>
        <v>0</v>
      </c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41">
        <v>8766.0</v>
      </c>
      <c r="B51" s="42" t="s">
        <v>44</v>
      </c>
      <c r="C51" s="43">
        <f>SUMIFS('配当金履歴一覧'!$F:F,'配当金履歴一覧'!$C:$C,"&gt;=2024/1",'配当金履歴一覧'!$C:$C,"&lt;=2024/12",'配当金履歴一覧'!$B:$B,$B51)+SUMIFS('配当金履歴一覧'!$H:H,'配当金履歴一覧'!$C:$C,"&gt;=2024/1",'配当金履歴一覧'!$C:$C,"&lt;=2024/12",'配当金履歴一覧'!$B:$B,$B51)</f>
        <v>3343</v>
      </c>
      <c r="D51" s="43">
        <f>SUMIFS('配当金履歴一覧'!$F:F,'配当金履歴一覧'!$C:$C,"&gt;=2025/1",'配当金履歴一覧'!$C:$C,"&lt;=2025/12",'配当金履歴一覧'!$B:$B,$B51)+SUMIFS('配当金履歴一覧'!$H:H,'配当金履歴一覧'!$C:$C,"&gt;=2025/1",'配当金履歴一覧'!$C:$C,"&lt;=2025/12",'配当金履歴一覧'!$B:$B,$B51)</f>
        <v>5055</v>
      </c>
      <c r="E51" s="43">
        <f>SUMIFS('配当金履歴一覧'!$F:F,'配当金履歴一覧'!$C:$C,"&gt;=2026/1",'配当金履歴一覧'!$C:$C,"&lt;=2026/12",'配当金履歴一覧'!$B:$B,$B51)+SUMIFS('配当金履歴一覧'!$H:H,'配当金履歴一覧'!$C:$C,"&gt;=2026/1",'配当金履歴一覧'!$C:$C,"&lt;=2026/12",'配当金履歴一覧'!$B:$B,$B51)</f>
        <v>0</v>
      </c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41">
        <v>9101.0</v>
      </c>
      <c r="B52" s="42" t="s">
        <v>45</v>
      </c>
      <c r="C52" s="43">
        <f>SUMIFS('配当金履歴一覧'!$F:F,'配当金履歴一覧'!$C:$C,"&gt;=2024/1",'配当金履歴一覧'!$C:$C,"&lt;=2024/12",'配当金履歴一覧'!$B:$B,$B52)+SUMIFS('配当金履歴一覧'!$H:H,'配当金履歴一覧'!$C:$C,"&gt;=2024/1",'配当金履歴一覧'!$C:$C,"&lt;=2024/12",'配当金履歴一覧'!$B:$B,$B52)</f>
        <v>0</v>
      </c>
      <c r="D52" s="43">
        <f>SUMIFS('配当金履歴一覧'!$F:F,'配当金履歴一覧'!$C:$C,"&gt;=2025/1",'配当金履歴一覧'!$C:$C,"&lt;=2025/12",'配当金履歴一覧'!$B:$B,$B52)+SUMIFS('配当金履歴一覧'!$H:H,'配当金履歴一覧'!$C:$C,"&gt;=2025/1",'配当金履歴一覧'!$C:$C,"&lt;=2025/12",'配当金履歴一覧'!$B:$B,$B52)</f>
        <v>1000</v>
      </c>
      <c r="E52" s="43">
        <f>SUMIFS('配当金履歴一覧'!$F:F,'配当金履歴一覧'!$C:$C,"&gt;=2026/1",'配当金履歴一覧'!$C:$C,"&lt;=2026/12",'配当金履歴一覧'!$B:$B,$B52)+SUMIFS('配当金履歴一覧'!$H:H,'配当金履歴一覧'!$C:$C,"&gt;=2026/1",'配当金履歴一覧'!$C:$C,"&lt;=2026/12",'配当金履歴一覧'!$B:$B,$B52)</f>
        <v>0</v>
      </c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41">
        <v>9432.0</v>
      </c>
      <c r="B53" s="42" t="s">
        <v>46</v>
      </c>
      <c r="C53" s="43">
        <f>SUMIFS('配当金履歴一覧'!$F:F,'配当金履歴一覧'!$C:$C,"&gt;=2024/1",'配当金履歴一覧'!$C:$C,"&lt;=2024/12",'配当金履歴一覧'!$B:$B,$B53)+SUMIFS('配当金履歴一覧'!$H:H,'配当金履歴一覧'!$C:$C,"&gt;=2024/1",'配当金履歴一覧'!$C:$C,"&lt;=2024/12",'配当金履歴一覧'!$B:$B,$B53)</f>
        <v>520</v>
      </c>
      <c r="D53" s="43">
        <f>SUMIFS('配当金履歴一覧'!$F:F,'配当金履歴一覧'!$C:$C,"&gt;=2025/1",'配当金履歴一覧'!$C:$C,"&lt;=2025/12",'配当金履歴一覧'!$B:$B,$B53)+SUMIFS('配当金履歴一覧'!$H:H,'配当金履歴一覧'!$C:$C,"&gt;=2025/1",'配当金履歴一覧'!$C:$C,"&lt;=2025/12",'配当金履歴一覧'!$B:$B,$B53)</f>
        <v>657</v>
      </c>
      <c r="E53" s="43">
        <f>SUMIFS('配当金履歴一覧'!$F:F,'配当金履歴一覧'!$C:$C,"&gt;=2026/1",'配当金履歴一覧'!$C:$C,"&lt;=2026/12",'配当金履歴一覧'!$B:$B,$B53)+SUMIFS('配当金履歴一覧'!$H:H,'配当金履歴一覧'!$C:$C,"&gt;=2026/1",'配当金履歴一覧'!$C:$C,"&lt;=2026/12",'配当金履歴一覧'!$B:$B,$B53)</f>
        <v>0</v>
      </c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41">
        <v>9433.0</v>
      </c>
      <c r="B54" s="42" t="s">
        <v>47</v>
      </c>
      <c r="C54" s="43">
        <f>SUMIFS('配当金履歴一覧'!$F:F,'配当金履歴一覧'!$C:$C,"&gt;=2024/1",'配当金履歴一覧'!$C:$C,"&lt;=2024/12",'配当金履歴一覧'!$B:$B,$B54)+SUMIFS('配当金履歴一覧'!$H:H,'配当金履歴一覧'!$C:$C,"&gt;=2024/1",'配当金履歴一覧'!$C:$C,"&lt;=2024/12",'配当金履歴一覧'!$B:$B,$B54)</f>
        <v>1384</v>
      </c>
      <c r="D54" s="43">
        <f>SUMIFS('配当金履歴一覧'!$F:F,'配当金履歴一覧'!$C:$C,"&gt;=2025/1",'配当金履歴一覧'!$C:$C,"&lt;=2025/12",'配当金履歴一覧'!$B:$B,$B54)+SUMIFS('配当金履歴一覧'!$H:H,'配当金履歴一覧'!$C:$C,"&gt;=2025/1",'配当金履歴一覧'!$C:$C,"&lt;=2025/12",'配当金履歴一覧'!$B:$B,$B54)</f>
        <v>1919</v>
      </c>
      <c r="E54" s="43">
        <f>SUMIFS('配当金履歴一覧'!$F:F,'配当金履歴一覧'!$C:$C,"&gt;=2026/1",'配当金履歴一覧'!$C:$C,"&lt;=2026/12",'配当金履歴一覧'!$B:$B,$B54)+SUMIFS('配当金履歴一覧'!$H:H,'配当金履歴一覧'!$C:$C,"&gt;=2026/1",'配当金履歴一覧'!$C:$C,"&lt;=2026/12",'配当金履歴一覧'!$B:$B,$B54)</f>
        <v>0</v>
      </c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41">
        <v>9434.0</v>
      </c>
      <c r="B55" s="42" t="s">
        <v>48</v>
      </c>
      <c r="C55" s="43">
        <f>SUMIFS('配当金履歴一覧'!$F:F,'配当金履歴一覧'!$C:$C,"&gt;=2024/1",'配当金履歴一覧'!$C:$C,"&lt;=2024/12",'配当金履歴一覧'!$B:$B,$B55)+SUMIFS('配当金履歴一覧'!$H:H,'配当金履歴一覧'!$C:$C,"&gt;=2024/1",'配当金履歴一覧'!$C:$C,"&lt;=2024/12",'配当金履歴一覧'!$B:$B,$B55)</f>
        <v>817</v>
      </c>
      <c r="D55" s="43">
        <f>SUMIFS('配当金履歴一覧'!$F:F,'配当金履歴一覧'!$C:$C,"&gt;=2025/1",'配当金履歴一覧'!$C:$C,"&lt;=2025/12",'配当金履歴一覧'!$B:$B,$B55)+SUMIFS('配当金履歴一覧'!$H:H,'配当金履歴一覧'!$C:$C,"&gt;=2025/1",'配当金履歴一覧'!$C:$C,"&lt;=2025/12",'配当金履歴一覧'!$B:$B,$B55)</f>
        <v>946</v>
      </c>
      <c r="E55" s="43">
        <f>SUMIFS('配当金履歴一覧'!$F:F,'配当金履歴一覧'!$C:$C,"&gt;=2026/1",'配当金履歴一覧'!$C:$C,"&lt;=2026/12",'配当金履歴一覧'!$B:$B,$B55)+SUMIFS('配当金履歴一覧'!$H:H,'配当金履歴一覧'!$C:$C,"&gt;=2026/1",'配当金履歴一覧'!$C:$C,"&lt;=2026/12",'配当金履歴一覧'!$B:$B,$B55)</f>
        <v>0</v>
      </c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41">
        <v>9513.0</v>
      </c>
      <c r="B56" s="42" t="s">
        <v>49</v>
      </c>
      <c r="C56" s="43">
        <f>SUMIFS('配当金履歴一覧'!$F:F,'配当金履歴一覧'!$C:$C,"&gt;=2024/1",'配当金履歴一覧'!$C:$C,"&lt;=2024/12",'配当金履歴一覧'!$B:$B,$B56)+SUMIFS('配当金履歴一覧'!$H:H,'配当金履歴一覧'!$C:$C,"&gt;=2024/1",'配当金履歴一覧'!$C:$C,"&lt;=2024/12",'配当金履歴一覧'!$B:$B,$B56)</f>
        <v>1655</v>
      </c>
      <c r="D56" s="43">
        <f>SUMIFS('配当金履歴一覧'!$F:F,'配当金履歴一覧'!$C:$C,"&gt;=2025/1",'配当金履歴一覧'!$C:$C,"&lt;=2025/12",'配当金履歴一覧'!$B:$B,$B56)+SUMIFS('配当金履歴一覧'!$H:H,'配当金履歴一覧'!$C:$C,"&gt;=2025/1",'配当金履歴一覧'!$C:$C,"&lt;=2025/12",'配当金履歴一覧'!$B:$B,$B56)</f>
        <v>2288</v>
      </c>
      <c r="E56" s="43">
        <f>SUMIFS('配当金履歴一覧'!$F:F,'配当金履歴一覧'!$C:$C,"&gt;=2026/1",'配当金履歴一覧'!$C:$C,"&lt;=2026/12",'配当金履歴一覧'!$B:$B,$B56)+SUMIFS('配当金履歴一覧'!$H:H,'配当金履歴一覧'!$C:$C,"&gt;=2026/1",'配当金履歴一覧'!$C:$C,"&lt;=2026/12",'配当金履歴一覧'!$B:$B,$B56)</f>
        <v>0</v>
      </c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</sheetData>
  <mergeCells count="53">
    <mergeCell ref="H2:H3"/>
    <mergeCell ref="I2:I3"/>
    <mergeCell ref="J2:J3"/>
    <mergeCell ref="K2:K3"/>
    <mergeCell ref="L2:L3"/>
    <mergeCell ref="M2:M3"/>
    <mergeCell ref="N2:N3"/>
    <mergeCell ref="A1:B1"/>
    <mergeCell ref="A2:B3"/>
    <mergeCell ref="C2:C3"/>
    <mergeCell ref="D2:D3"/>
    <mergeCell ref="E2:E3"/>
    <mergeCell ref="F2:F3"/>
    <mergeCell ref="G2:G3"/>
    <mergeCell ref="H5:H6"/>
    <mergeCell ref="I5:I6"/>
    <mergeCell ref="J5:J6"/>
    <mergeCell ref="K5:K6"/>
    <mergeCell ref="L5:L6"/>
    <mergeCell ref="M5:M6"/>
    <mergeCell ref="N5:N6"/>
    <mergeCell ref="A4:B4"/>
    <mergeCell ref="A5:B6"/>
    <mergeCell ref="C5:C6"/>
    <mergeCell ref="D5:D6"/>
    <mergeCell ref="E5:E6"/>
    <mergeCell ref="F5:F6"/>
    <mergeCell ref="G5:G6"/>
    <mergeCell ref="H8:H9"/>
    <mergeCell ref="I8:I9"/>
    <mergeCell ref="J8:J9"/>
    <mergeCell ref="K8:K9"/>
    <mergeCell ref="L8:L9"/>
    <mergeCell ref="M8:M9"/>
    <mergeCell ref="N8:N9"/>
    <mergeCell ref="A7:B7"/>
    <mergeCell ref="A8:B9"/>
    <mergeCell ref="C8:C9"/>
    <mergeCell ref="D8:D9"/>
    <mergeCell ref="E8:E9"/>
    <mergeCell ref="F8:F9"/>
    <mergeCell ref="G8:G9"/>
    <mergeCell ref="A17:B18"/>
    <mergeCell ref="C17:C18"/>
    <mergeCell ref="D17:D18"/>
    <mergeCell ref="E17:E18"/>
    <mergeCell ref="A10:A11"/>
    <mergeCell ref="B10:B11"/>
    <mergeCell ref="C10:E10"/>
    <mergeCell ref="A12:B13"/>
    <mergeCell ref="C12:C13"/>
    <mergeCell ref="D12:D13"/>
    <mergeCell ref="E12:E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7.63"/>
    <col customWidth="1" min="3" max="8" width="15.13"/>
  </cols>
  <sheetData>
    <row r="1">
      <c r="A1" s="44" t="s">
        <v>59</v>
      </c>
      <c r="B1" s="45" t="s">
        <v>1</v>
      </c>
      <c r="C1" s="45" t="s">
        <v>2</v>
      </c>
      <c r="D1" s="46" t="s">
        <v>60</v>
      </c>
      <c r="E1" s="47" t="s">
        <v>61</v>
      </c>
      <c r="F1" s="47" t="s">
        <v>62</v>
      </c>
      <c r="G1" s="48" t="s">
        <v>63</v>
      </c>
      <c r="H1" s="48" t="s">
        <v>64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49">
        <f t="shared" ref="A2:A162" si="1">row()-1</f>
        <v>1</v>
      </c>
      <c r="B2" s="49" t="s">
        <v>9</v>
      </c>
      <c r="C2" s="50">
        <v>45352.0</v>
      </c>
      <c r="D2" s="51" t="s">
        <v>65</v>
      </c>
      <c r="E2" s="17">
        <v>0.0</v>
      </c>
      <c r="F2" s="18">
        <v>0.0</v>
      </c>
      <c r="G2" s="19">
        <v>2.0</v>
      </c>
      <c r="H2" s="20">
        <v>174.0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49">
        <f t="shared" si="1"/>
        <v>2</v>
      </c>
      <c r="B3" s="49" t="s">
        <v>11</v>
      </c>
      <c r="C3" s="50">
        <v>45352.0</v>
      </c>
      <c r="D3" s="51" t="s">
        <v>66</v>
      </c>
      <c r="E3" s="17">
        <v>191.0</v>
      </c>
      <c r="F3" s="18">
        <v>7580.0</v>
      </c>
      <c r="G3" s="19">
        <v>5.0</v>
      </c>
      <c r="H3" s="20">
        <v>249.0</v>
      </c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49">
        <f t="shared" si="1"/>
        <v>3</v>
      </c>
      <c r="B4" s="49" t="s">
        <v>29</v>
      </c>
      <c r="C4" s="50">
        <v>45352.0</v>
      </c>
      <c r="D4" s="52">
        <v>7.2</v>
      </c>
      <c r="E4" s="17">
        <v>20.0</v>
      </c>
      <c r="F4" s="18">
        <v>115.0</v>
      </c>
      <c r="G4" s="19">
        <v>0.0</v>
      </c>
      <c r="H4" s="20">
        <v>0.0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49">
        <f t="shared" si="1"/>
        <v>4</v>
      </c>
      <c r="B5" s="49" t="s">
        <v>7</v>
      </c>
      <c r="C5" s="50">
        <v>45352.0</v>
      </c>
      <c r="D5" s="51" t="s">
        <v>67</v>
      </c>
      <c r="E5" s="17">
        <v>51.0</v>
      </c>
      <c r="F5" s="18">
        <v>4605.0</v>
      </c>
      <c r="G5" s="19">
        <v>3.0</v>
      </c>
      <c r="H5" s="20">
        <v>113.3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49">
        <f t="shared" si="1"/>
        <v>5</v>
      </c>
      <c r="B6" s="49" t="s">
        <v>17</v>
      </c>
      <c r="C6" s="50">
        <v>45352.0</v>
      </c>
      <c r="D6" s="52">
        <v>90.0</v>
      </c>
      <c r="E6" s="17">
        <v>16.0</v>
      </c>
      <c r="F6" s="18">
        <v>1148.0</v>
      </c>
      <c r="G6" s="19">
        <v>0.0</v>
      </c>
      <c r="H6" s="20">
        <v>0.0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49">
        <f t="shared" si="1"/>
        <v>6</v>
      </c>
      <c r="B7" s="49" t="s">
        <v>30</v>
      </c>
      <c r="C7" s="50">
        <v>45352.0</v>
      </c>
      <c r="D7" s="52">
        <v>70.0</v>
      </c>
      <c r="E7" s="17">
        <v>2.0</v>
      </c>
      <c r="F7" s="18">
        <v>112.0</v>
      </c>
      <c r="G7" s="19">
        <v>0.0</v>
      </c>
      <c r="H7" s="20">
        <v>0.0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49">
        <f t="shared" si="1"/>
        <v>7</v>
      </c>
      <c r="B8" s="49" t="s">
        <v>18</v>
      </c>
      <c r="C8" s="50">
        <v>45352.0</v>
      </c>
      <c r="D8" s="52">
        <v>36.5</v>
      </c>
      <c r="E8" s="17">
        <v>9.0</v>
      </c>
      <c r="F8" s="18">
        <v>262.0</v>
      </c>
      <c r="G8" s="19">
        <v>0.0</v>
      </c>
      <c r="H8" s="20">
        <v>0.0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49">
        <f t="shared" si="1"/>
        <v>8</v>
      </c>
      <c r="B9" s="49" t="s">
        <v>14</v>
      </c>
      <c r="C9" s="50">
        <v>45352.0</v>
      </c>
      <c r="D9" s="52">
        <v>65.0</v>
      </c>
      <c r="E9" s="17">
        <v>16.0</v>
      </c>
      <c r="F9" s="18">
        <v>829.0</v>
      </c>
      <c r="G9" s="19">
        <v>0.0</v>
      </c>
      <c r="H9" s="20">
        <v>0.0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49">
        <f t="shared" si="1"/>
        <v>9</v>
      </c>
      <c r="B10" s="49" t="s">
        <v>16</v>
      </c>
      <c r="C10" s="53">
        <v>45383.0</v>
      </c>
      <c r="D10" s="54">
        <v>64.0</v>
      </c>
      <c r="E10" s="17">
        <v>15.0</v>
      </c>
      <c r="F10" s="18">
        <v>765.0</v>
      </c>
      <c r="G10" s="19">
        <v>0.0</v>
      </c>
      <c r="H10" s="20">
        <v>0.0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49">
        <f t="shared" si="1"/>
        <v>10</v>
      </c>
      <c r="B11" s="49" t="s">
        <v>39</v>
      </c>
      <c r="C11" s="53">
        <v>45444.0</v>
      </c>
      <c r="D11" s="54">
        <v>5.5</v>
      </c>
      <c r="E11" s="17">
        <v>0.0</v>
      </c>
      <c r="F11" s="18">
        <v>0.0</v>
      </c>
      <c r="G11" s="19">
        <v>50.0</v>
      </c>
      <c r="H11" s="20">
        <v>275.0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49">
        <f t="shared" si="1"/>
        <v>11</v>
      </c>
      <c r="B12" s="49" t="s">
        <v>32</v>
      </c>
      <c r="C12" s="53">
        <v>45444.0</v>
      </c>
      <c r="D12" s="54">
        <v>43.5</v>
      </c>
      <c r="E12" s="17">
        <v>9.0</v>
      </c>
      <c r="F12" s="18">
        <v>313.0</v>
      </c>
      <c r="G12" s="19">
        <v>3.0</v>
      </c>
      <c r="H12" s="20">
        <v>131.0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49">
        <f t="shared" si="1"/>
        <v>12</v>
      </c>
      <c r="B13" s="49" t="s">
        <v>41</v>
      </c>
      <c r="C13" s="53">
        <v>45444.0</v>
      </c>
      <c r="D13" s="54">
        <v>55.8</v>
      </c>
      <c r="E13" s="17">
        <v>14.0</v>
      </c>
      <c r="F13" s="18">
        <v>624.0</v>
      </c>
      <c r="G13" s="19">
        <v>0.0</v>
      </c>
      <c r="H13" s="20">
        <v>0.0</v>
      </c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49">
        <f t="shared" si="1"/>
        <v>13</v>
      </c>
      <c r="B14" s="49" t="s">
        <v>48</v>
      </c>
      <c r="C14" s="53">
        <v>45444.0</v>
      </c>
      <c r="D14" s="54">
        <v>43.0</v>
      </c>
      <c r="E14" s="17">
        <v>10.0</v>
      </c>
      <c r="F14" s="18">
        <v>344.0</v>
      </c>
      <c r="G14" s="19">
        <v>0.0</v>
      </c>
      <c r="H14" s="20">
        <v>0.0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49">
        <f t="shared" si="1"/>
        <v>14</v>
      </c>
      <c r="B15" s="49" t="s">
        <v>42</v>
      </c>
      <c r="C15" s="53">
        <v>45444.0</v>
      </c>
      <c r="D15" s="52">
        <v>10.0</v>
      </c>
      <c r="E15" s="55">
        <v>19.0</v>
      </c>
      <c r="F15" s="56">
        <v>152.0</v>
      </c>
      <c r="G15" s="19">
        <v>0.0</v>
      </c>
      <c r="H15" s="20">
        <v>0.0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49">
        <f t="shared" si="1"/>
        <v>15</v>
      </c>
      <c r="B16" s="49" t="s">
        <v>40</v>
      </c>
      <c r="C16" s="53">
        <v>45444.0</v>
      </c>
      <c r="D16" s="52">
        <v>130.0</v>
      </c>
      <c r="E16" s="55">
        <v>11.0</v>
      </c>
      <c r="F16" s="56">
        <v>1140.0</v>
      </c>
      <c r="G16" s="57">
        <v>2.0</v>
      </c>
      <c r="H16" s="58">
        <v>260.0</v>
      </c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49">
        <f t="shared" si="1"/>
        <v>16</v>
      </c>
      <c r="B17" s="49" t="s">
        <v>7</v>
      </c>
      <c r="C17" s="53">
        <v>45444.0</v>
      </c>
      <c r="D17" s="54" t="s">
        <v>68</v>
      </c>
      <c r="E17" s="55">
        <v>51.0</v>
      </c>
      <c r="F17" s="56">
        <v>5316.0</v>
      </c>
      <c r="G17" s="57">
        <v>6.0</v>
      </c>
      <c r="H17" s="58">
        <v>785.0</v>
      </c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49">
        <f t="shared" si="1"/>
        <v>17</v>
      </c>
      <c r="B18" s="49" t="s">
        <v>19</v>
      </c>
      <c r="C18" s="53">
        <v>45444.0</v>
      </c>
      <c r="D18" s="52">
        <v>70.0</v>
      </c>
      <c r="E18" s="55">
        <v>17.0</v>
      </c>
      <c r="F18" s="56">
        <v>949.0</v>
      </c>
      <c r="G18" s="19">
        <v>0.0</v>
      </c>
      <c r="H18" s="20">
        <v>0.0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49">
        <f t="shared" si="1"/>
        <v>18</v>
      </c>
      <c r="B19" s="49" t="s">
        <v>47</v>
      </c>
      <c r="C19" s="53">
        <v>45444.0</v>
      </c>
      <c r="D19" s="52">
        <v>70.0</v>
      </c>
      <c r="E19" s="55">
        <v>8.0</v>
      </c>
      <c r="F19" s="56">
        <v>447.0</v>
      </c>
      <c r="G19" s="57">
        <v>2.0</v>
      </c>
      <c r="H19" s="58">
        <v>140.0</v>
      </c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49">
        <f t="shared" si="1"/>
        <v>19</v>
      </c>
      <c r="B20" s="49" t="s">
        <v>33</v>
      </c>
      <c r="C20" s="53">
        <v>45444.0</v>
      </c>
      <c r="D20" s="52">
        <v>85.0</v>
      </c>
      <c r="E20" s="55">
        <v>12.0</v>
      </c>
      <c r="F20" s="56">
        <v>813.0</v>
      </c>
      <c r="G20" s="57">
        <v>1.0</v>
      </c>
      <c r="H20" s="58">
        <v>85.0</v>
      </c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49">
        <f t="shared" si="1"/>
        <v>20</v>
      </c>
      <c r="B21" s="49" t="s">
        <v>29</v>
      </c>
      <c r="C21" s="53">
        <v>45444.0</v>
      </c>
      <c r="D21" s="52">
        <v>11.87</v>
      </c>
      <c r="E21" s="17">
        <v>0.0</v>
      </c>
      <c r="F21" s="18">
        <v>0.0</v>
      </c>
      <c r="G21" s="57">
        <v>20.0</v>
      </c>
      <c r="H21" s="58">
        <v>238.0</v>
      </c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49">
        <f t="shared" si="1"/>
        <v>21</v>
      </c>
      <c r="B22" s="49" t="s">
        <v>46</v>
      </c>
      <c r="C22" s="53">
        <v>45444.0</v>
      </c>
      <c r="D22" s="52">
        <v>2.6</v>
      </c>
      <c r="E22" s="55">
        <v>125.0</v>
      </c>
      <c r="F22" s="56">
        <v>260.0</v>
      </c>
      <c r="G22" s="19">
        <v>0.0</v>
      </c>
      <c r="H22" s="20">
        <v>0.0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49">
        <f t="shared" si="1"/>
        <v>22</v>
      </c>
      <c r="B23" s="49" t="s">
        <v>35</v>
      </c>
      <c r="C23" s="53">
        <v>45444.0</v>
      </c>
      <c r="D23" s="52">
        <v>35.0</v>
      </c>
      <c r="E23" s="55">
        <v>15.0</v>
      </c>
      <c r="F23" s="56">
        <v>419.0</v>
      </c>
      <c r="G23" s="19">
        <v>0.0</v>
      </c>
      <c r="H23" s="20">
        <v>0.0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49">
        <f t="shared" si="1"/>
        <v>23</v>
      </c>
      <c r="B24" s="49" t="s">
        <v>34</v>
      </c>
      <c r="C24" s="53">
        <v>45444.0</v>
      </c>
      <c r="D24" s="52">
        <v>62.5</v>
      </c>
      <c r="E24" s="55">
        <v>9.0</v>
      </c>
      <c r="F24" s="56">
        <v>448.0</v>
      </c>
      <c r="G24" s="57">
        <v>2.0</v>
      </c>
      <c r="H24" s="58">
        <v>125.0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49">
        <f t="shared" si="1"/>
        <v>24</v>
      </c>
      <c r="B25" s="49" t="s">
        <v>31</v>
      </c>
      <c r="C25" s="53">
        <v>45444.0</v>
      </c>
      <c r="D25" s="52">
        <v>80.0</v>
      </c>
      <c r="E25" s="55">
        <v>6.0</v>
      </c>
      <c r="F25" s="56">
        <v>383.0</v>
      </c>
      <c r="G25" s="19">
        <v>0.0</v>
      </c>
      <c r="H25" s="20">
        <v>0.0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49">
        <f t="shared" si="1"/>
        <v>25</v>
      </c>
      <c r="B26" s="49" t="s">
        <v>44</v>
      </c>
      <c r="C26" s="53">
        <v>45444.0</v>
      </c>
      <c r="D26" s="52">
        <v>62.5</v>
      </c>
      <c r="E26" s="55">
        <v>26.0</v>
      </c>
      <c r="F26" s="56">
        <v>1296.0</v>
      </c>
      <c r="G26" s="57">
        <v>2.0</v>
      </c>
      <c r="H26" s="58">
        <v>125.0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49">
        <f t="shared" si="1"/>
        <v>26</v>
      </c>
      <c r="B27" s="49" t="s">
        <v>43</v>
      </c>
      <c r="C27" s="53">
        <v>45444.0</v>
      </c>
      <c r="D27" s="52">
        <v>150.0</v>
      </c>
      <c r="E27" s="55">
        <v>11.0</v>
      </c>
      <c r="F27" s="56">
        <v>1316.0</v>
      </c>
      <c r="G27" s="19">
        <v>0.0</v>
      </c>
      <c r="H27" s="20">
        <v>0.0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49">
        <f t="shared" si="1"/>
        <v>27</v>
      </c>
      <c r="B28" s="49" t="s">
        <v>9</v>
      </c>
      <c r="C28" s="53">
        <v>45444.0</v>
      </c>
      <c r="D28" s="54" t="s">
        <v>69</v>
      </c>
      <c r="E28" s="17">
        <v>0.0</v>
      </c>
      <c r="F28" s="18">
        <v>0.0</v>
      </c>
      <c r="G28" s="57">
        <v>8.0</v>
      </c>
      <c r="H28" s="58">
        <v>1170.0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49">
        <f t="shared" si="1"/>
        <v>28</v>
      </c>
      <c r="B29" s="49" t="s">
        <v>11</v>
      </c>
      <c r="C29" s="53">
        <v>45444.0</v>
      </c>
      <c r="D29" s="54" t="s">
        <v>70</v>
      </c>
      <c r="E29" s="55">
        <v>191.0</v>
      </c>
      <c r="F29" s="56">
        <v>10578.0</v>
      </c>
      <c r="G29" s="57">
        <v>6.0</v>
      </c>
      <c r="H29" s="58">
        <v>417.0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49">
        <f t="shared" si="1"/>
        <v>29</v>
      </c>
      <c r="B30" s="49" t="s">
        <v>49</v>
      </c>
      <c r="C30" s="53">
        <v>45444.0</v>
      </c>
      <c r="D30" s="52">
        <v>55.0</v>
      </c>
      <c r="E30" s="55">
        <v>13.0</v>
      </c>
      <c r="F30" s="56">
        <v>571.0</v>
      </c>
      <c r="G30" s="57">
        <v>3.0</v>
      </c>
      <c r="H30" s="58">
        <v>165.0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49">
        <f t="shared" si="1"/>
        <v>30</v>
      </c>
      <c r="B31" s="49" t="s">
        <v>25</v>
      </c>
      <c r="C31" s="53">
        <v>45444.0</v>
      </c>
      <c r="D31" s="52">
        <v>11.0</v>
      </c>
      <c r="E31" s="17">
        <v>0.0</v>
      </c>
      <c r="F31" s="18">
        <v>0.0</v>
      </c>
      <c r="G31" s="57">
        <v>2.0</v>
      </c>
      <c r="H31" s="58">
        <v>22.0</v>
      </c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49">
        <f t="shared" si="1"/>
        <v>31</v>
      </c>
      <c r="B32" s="49" t="s">
        <v>24</v>
      </c>
      <c r="C32" s="53">
        <v>45444.0</v>
      </c>
      <c r="D32" s="52">
        <v>94.0</v>
      </c>
      <c r="E32" s="55">
        <v>26.0</v>
      </c>
      <c r="F32" s="56">
        <v>1948.0</v>
      </c>
      <c r="G32" s="19">
        <v>0.0</v>
      </c>
      <c r="H32" s="20">
        <v>0.0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49">
        <f t="shared" si="1"/>
        <v>32</v>
      </c>
      <c r="B33" s="49" t="s">
        <v>38</v>
      </c>
      <c r="C33" s="53">
        <v>45444.0</v>
      </c>
      <c r="D33" s="52">
        <v>135.0</v>
      </c>
      <c r="E33" s="55">
        <v>10.0</v>
      </c>
      <c r="F33" s="56">
        <v>1077.0</v>
      </c>
      <c r="G33" s="19">
        <v>0.0</v>
      </c>
      <c r="H33" s="20">
        <v>0.0</v>
      </c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49">
        <f t="shared" si="1"/>
        <v>33</v>
      </c>
      <c r="B34" s="49" t="s">
        <v>37</v>
      </c>
      <c r="C34" s="53">
        <v>45444.0</v>
      </c>
      <c r="D34" s="52">
        <v>20.5</v>
      </c>
      <c r="E34" s="55">
        <v>22.0</v>
      </c>
      <c r="F34" s="56">
        <v>360.0</v>
      </c>
      <c r="G34" s="19">
        <v>0.0</v>
      </c>
      <c r="H34" s="20">
        <v>0.0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49">
        <f t="shared" si="1"/>
        <v>34</v>
      </c>
      <c r="B35" s="49" t="s">
        <v>15</v>
      </c>
      <c r="C35" s="53">
        <v>45444.0</v>
      </c>
      <c r="D35" s="52">
        <v>80.0</v>
      </c>
      <c r="E35" s="55">
        <v>8.0</v>
      </c>
      <c r="F35" s="56">
        <v>510.0</v>
      </c>
      <c r="G35" s="57">
        <v>1.0</v>
      </c>
      <c r="H35" s="58">
        <v>80.0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49">
        <f t="shared" si="1"/>
        <v>35</v>
      </c>
      <c r="B36" s="49" t="s">
        <v>13</v>
      </c>
      <c r="C36" s="53">
        <v>45444.0</v>
      </c>
      <c r="D36" s="52">
        <v>45.0</v>
      </c>
      <c r="E36" s="55">
        <v>8.0</v>
      </c>
      <c r="F36" s="56">
        <v>287.0</v>
      </c>
      <c r="G36" s="19">
        <v>0.0</v>
      </c>
      <c r="H36" s="20">
        <v>0.0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49">
        <f t="shared" si="1"/>
        <v>36</v>
      </c>
      <c r="B37" s="49" t="s">
        <v>30</v>
      </c>
      <c r="C37" s="53">
        <v>45505.0</v>
      </c>
      <c r="D37" s="52">
        <v>75.0</v>
      </c>
      <c r="E37" s="55">
        <v>2.0</v>
      </c>
      <c r="F37" s="56">
        <v>121.0</v>
      </c>
      <c r="G37" s="57">
        <v>3.0</v>
      </c>
      <c r="H37" s="58">
        <v>225.0</v>
      </c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49">
        <f t="shared" si="1"/>
        <v>37</v>
      </c>
      <c r="B38" s="49" t="s">
        <v>23</v>
      </c>
      <c r="C38" s="53">
        <v>45536.0</v>
      </c>
      <c r="D38" s="52">
        <v>76.0</v>
      </c>
      <c r="E38" s="17">
        <v>0.0</v>
      </c>
      <c r="F38" s="18">
        <v>0.0</v>
      </c>
      <c r="G38" s="57">
        <v>2.0</v>
      </c>
      <c r="H38" s="58">
        <v>152.0</v>
      </c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49">
        <f t="shared" si="1"/>
        <v>38</v>
      </c>
      <c r="B39" s="49" t="s">
        <v>12</v>
      </c>
      <c r="C39" s="53">
        <v>45536.0</v>
      </c>
      <c r="D39" s="52">
        <v>43.0</v>
      </c>
      <c r="E39" s="17">
        <v>0.0</v>
      </c>
      <c r="F39" s="18">
        <v>0.0</v>
      </c>
      <c r="G39" s="57">
        <v>4.0</v>
      </c>
      <c r="H39" s="58">
        <v>172.0</v>
      </c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49">
        <f t="shared" si="1"/>
        <v>39</v>
      </c>
      <c r="B40" s="49" t="s">
        <v>21</v>
      </c>
      <c r="C40" s="53">
        <v>45536.0</v>
      </c>
      <c r="D40" s="52">
        <v>26.0</v>
      </c>
      <c r="E40" s="17">
        <v>0.0</v>
      </c>
      <c r="F40" s="18">
        <v>0.0</v>
      </c>
      <c r="G40" s="57">
        <v>4.0</v>
      </c>
      <c r="H40" s="58">
        <v>104.0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49">
        <f t="shared" si="1"/>
        <v>40</v>
      </c>
      <c r="B41" s="49" t="s">
        <v>20</v>
      </c>
      <c r="C41" s="53">
        <v>45536.0</v>
      </c>
      <c r="D41" s="52">
        <v>97.0</v>
      </c>
      <c r="E41" s="17">
        <v>0.0</v>
      </c>
      <c r="F41" s="18">
        <v>0.0</v>
      </c>
      <c r="G41" s="57">
        <v>3.0</v>
      </c>
      <c r="H41" s="58">
        <v>291.0</v>
      </c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49">
        <f t="shared" si="1"/>
        <v>41</v>
      </c>
      <c r="B42" s="49" t="s">
        <v>18</v>
      </c>
      <c r="C42" s="53">
        <v>45536.0</v>
      </c>
      <c r="D42" s="52">
        <v>35.5</v>
      </c>
      <c r="E42" s="55">
        <v>9.0</v>
      </c>
      <c r="F42" s="56">
        <v>256.0</v>
      </c>
      <c r="G42" s="57">
        <v>2.0</v>
      </c>
      <c r="H42" s="58">
        <v>72.0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49">
        <f t="shared" si="1"/>
        <v>42</v>
      </c>
      <c r="B43" s="49" t="s">
        <v>14</v>
      </c>
      <c r="C43" s="53">
        <v>45536.0</v>
      </c>
      <c r="D43" s="52">
        <v>65.0</v>
      </c>
      <c r="E43" s="55">
        <v>16.0</v>
      </c>
      <c r="F43" s="56">
        <v>829.0</v>
      </c>
      <c r="G43" s="57">
        <v>5.0</v>
      </c>
      <c r="H43" s="58">
        <v>325.0</v>
      </c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49">
        <f t="shared" si="1"/>
        <v>43</v>
      </c>
      <c r="B44" s="49" t="s">
        <v>36</v>
      </c>
      <c r="C44" s="53">
        <v>45536.0</v>
      </c>
      <c r="D44" s="52">
        <v>19.0</v>
      </c>
      <c r="E44" s="17">
        <v>0.0</v>
      </c>
      <c r="F44" s="18">
        <v>0.0</v>
      </c>
      <c r="G44" s="57">
        <v>6.0</v>
      </c>
      <c r="H44" s="58">
        <v>114.0</v>
      </c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49">
        <f t="shared" si="1"/>
        <v>44</v>
      </c>
      <c r="B45" s="49" t="s">
        <v>29</v>
      </c>
      <c r="C45" s="53">
        <v>45536.0</v>
      </c>
      <c r="D45" s="52">
        <v>2.0</v>
      </c>
      <c r="E45" s="17">
        <v>0.0</v>
      </c>
      <c r="F45" s="18">
        <v>0.0</v>
      </c>
      <c r="G45" s="57">
        <v>20.0</v>
      </c>
      <c r="H45" s="58">
        <v>40.0</v>
      </c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49">
        <f t="shared" si="1"/>
        <v>45</v>
      </c>
      <c r="B46" s="49" t="s">
        <v>9</v>
      </c>
      <c r="C46" s="53">
        <v>45536.0</v>
      </c>
      <c r="D46" s="54" t="s">
        <v>71</v>
      </c>
      <c r="E46" s="17">
        <v>0.0</v>
      </c>
      <c r="F46" s="18">
        <v>0.0</v>
      </c>
      <c r="G46" s="57">
        <v>8.0</v>
      </c>
      <c r="H46" s="58">
        <v>874.0</v>
      </c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49">
        <f t="shared" si="1"/>
        <v>46</v>
      </c>
      <c r="B47" s="49" t="s">
        <v>11</v>
      </c>
      <c r="C47" s="53">
        <v>45536.0</v>
      </c>
      <c r="D47" s="54" t="s">
        <v>72</v>
      </c>
      <c r="E47" s="55">
        <v>191.0</v>
      </c>
      <c r="F47" s="56">
        <v>8928.0</v>
      </c>
      <c r="G47" s="57">
        <v>6.0</v>
      </c>
      <c r="H47" s="58">
        <v>352.0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49">
        <f t="shared" si="1"/>
        <v>47</v>
      </c>
      <c r="B48" s="49" t="s">
        <v>16</v>
      </c>
      <c r="C48" s="53">
        <v>45536.0</v>
      </c>
      <c r="D48" s="52">
        <v>64.0</v>
      </c>
      <c r="E48" s="55">
        <v>15.0</v>
      </c>
      <c r="F48" s="56">
        <v>765.0</v>
      </c>
      <c r="G48" s="57">
        <v>2.0</v>
      </c>
      <c r="H48" s="58">
        <v>128.0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49">
        <f t="shared" si="1"/>
        <v>48</v>
      </c>
      <c r="B49" s="49" t="s">
        <v>7</v>
      </c>
      <c r="C49" s="59">
        <v>45566.0</v>
      </c>
      <c r="D49" s="51" t="s">
        <v>73</v>
      </c>
      <c r="E49" s="55">
        <v>51.0</v>
      </c>
      <c r="F49" s="56">
        <v>6381.0</v>
      </c>
      <c r="G49" s="57">
        <v>6.0</v>
      </c>
      <c r="H49" s="58">
        <v>942.0</v>
      </c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49">
        <f t="shared" si="1"/>
        <v>49</v>
      </c>
      <c r="B50" s="49" t="s">
        <v>49</v>
      </c>
      <c r="C50" s="59">
        <v>45597.0</v>
      </c>
      <c r="D50" s="52">
        <v>50.0</v>
      </c>
      <c r="E50" s="55">
        <v>13.0</v>
      </c>
      <c r="F50" s="56">
        <v>519.0</v>
      </c>
      <c r="G50" s="57">
        <v>8.0</v>
      </c>
      <c r="H50" s="58">
        <v>400.0</v>
      </c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49">
        <f t="shared" si="1"/>
        <v>50</v>
      </c>
      <c r="B51" s="49" t="s">
        <v>46</v>
      </c>
      <c r="C51" s="59">
        <v>45597.0</v>
      </c>
      <c r="D51" s="52">
        <v>2.6</v>
      </c>
      <c r="E51" s="55">
        <v>125.0</v>
      </c>
      <c r="F51" s="56">
        <v>260.0</v>
      </c>
      <c r="G51" s="19">
        <v>0.0</v>
      </c>
      <c r="H51" s="20">
        <v>0.0</v>
      </c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49">
        <f t="shared" si="1"/>
        <v>51</v>
      </c>
      <c r="B52" s="49" t="s">
        <v>25</v>
      </c>
      <c r="C52" s="59">
        <v>45597.0</v>
      </c>
      <c r="D52" s="52">
        <v>13.0</v>
      </c>
      <c r="E52" s="17">
        <v>0.0</v>
      </c>
      <c r="F52" s="18">
        <v>0.0</v>
      </c>
      <c r="G52" s="57">
        <v>4.0</v>
      </c>
      <c r="H52" s="58">
        <v>52.0</v>
      </c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49">
        <f t="shared" si="1"/>
        <v>52</v>
      </c>
      <c r="B53" s="49" t="s">
        <v>39</v>
      </c>
      <c r="C53" s="59">
        <v>45627.0</v>
      </c>
      <c r="D53" s="54">
        <v>5.5</v>
      </c>
      <c r="E53" s="17">
        <v>0.0</v>
      </c>
      <c r="F53" s="18">
        <v>0.0</v>
      </c>
      <c r="G53" s="19">
        <v>50.0</v>
      </c>
      <c r="H53" s="20">
        <v>275.0</v>
      </c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49">
        <f t="shared" si="1"/>
        <v>53</v>
      </c>
      <c r="B54" s="49" t="s">
        <v>35</v>
      </c>
      <c r="C54" s="59">
        <v>45627.0</v>
      </c>
      <c r="D54" s="52">
        <v>50.0</v>
      </c>
      <c r="E54" s="55">
        <v>15.0</v>
      </c>
      <c r="F54" s="56">
        <v>599.0</v>
      </c>
      <c r="G54" s="19">
        <v>0.0</v>
      </c>
      <c r="H54" s="20">
        <v>0.0</v>
      </c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49">
        <f t="shared" si="1"/>
        <v>54</v>
      </c>
      <c r="B55" s="49" t="s">
        <v>34</v>
      </c>
      <c r="C55" s="59">
        <v>45627.0</v>
      </c>
      <c r="D55" s="52">
        <v>65.0</v>
      </c>
      <c r="E55" s="55">
        <v>9.0</v>
      </c>
      <c r="F55" s="56">
        <v>467.0</v>
      </c>
      <c r="G55" s="57">
        <v>3.0</v>
      </c>
      <c r="H55" s="58">
        <v>195.0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49">
        <f t="shared" si="1"/>
        <v>55</v>
      </c>
      <c r="B56" s="49" t="s">
        <v>32</v>
      </c>
      <c r="C56" s="59">
        <v>45627.0</v>
      </c>
      <c r="D56" s="52">
        <v>45.0</v>
      </c>
      <c r="E56" s="55">
        <v>9.0</v>
      </c>
      <c r="F56" s="56">
        <v>323.0</v>
      </c>
      <c r="G56" s="57">
        <v>5.0</v>
      </c>
      <c r="H56" s="58">
        <v>225.0</v>
      </c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49">
        <f t="shared" si="1"/>
        <v>56</v>
      </c>
      <c r="B57" s="49" t="s">
        <v>31</v>
      </c>
      <c r="C57" s="59">
        <v>45627.0</v>
      </c>
      <c r="D57" s="52">
        <v>100.0</v>
      </c>
      <c r="E57" s="55">
        <v>6.0</v>
      </c>
      <c r="F57" s="56">
        <v>479.0</v>
      </c>
      <c r="G57" s="57">
        <v>1.0</v>
      </c>
      <c r="H57" s="58">
        <v>100.0</v>
      </c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49">
        <f t="shared" si="1"/>
        <v>57</v>
      </c>
      <c r="B58" s="49" t="s">
        <v>24</v>
      </c>
      <c r="C58" s="59">
        <v>45627.0</v>
      </c>
      <c r="D58" s="52">
        <v>98.0</v>
      </c>
      <c r="E58" s="55">
        <v>26.0</v>
      </c>
      <c r="F58" s="56">
        <v>2031.0</v>
      </c>
      <c r="G58" s="57">
        <v>3.0</v>
      </c>
      <c r="H58" s="58">
        <v>294.0</v>
      </c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49">
        <f t="shared" si="1"/>
        <v>58</v>
      </c>
      <c r="B59" s="49" t="s">
        <v>19</v>
      </c>
      <c r="C59" s="59">
        <v>45627.0</v>
      </c>
      <c r="D59" s="52">
        <v>75.0</v>
      </c>
      <c r="E59" s="55">
        <v>17.0</v>
      </c>
      <c r="F59" s="56">
        <v>1017.0</v>
      </c>
      <c r="G59" s="57">
        <v>7.0</v>
      </c>
      <c r="H59" s="58">
        <v>525.0</v>
      </c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49">
        <f t="shared" si="1"/>
        <v>59</v>
      </c>
      <c r="B60" s="49" t="s">
        <v>47</v>
      </c>
      <c r="C60" s="59">
        <v>45627.0</v>
      </c>
      <c r="D60" s="52">
        <v>70.0</v>
      </c>
      <c r="E60" s="55">
        <v>8.0</v>
      </c>
      <c r="F60" s="56">
        <v>447.0</v>
      </c>
      <c r="G60" s="57">
        <v>5.0</v>
      </c>
      <c r="H60" s="58">
        <v>350.0</v>
      </c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49">
        <f t="shared" si="1"/>
        <v>60</v>
      </c>
      <c r="B61" s="49" t="s">
        <v>38</v>
      </c>
      <c r="C61" s="59">
        <v>45627.0</v>
      </c>
      <c r="D61" s="52">
        <v>180.0</v>
      </c>
      <c r="E61" s="55">
        <v>10.0</v>
      </c>
      <c r="F61" s="56">
        <v>1435.0</v>
      </c>
      <c r="G61" s="57">
        <v>1.0</v>
      </c>
      <c r="H61" s="58">
        <v>180.0</v>
      </c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49">
        <f t="shared" si="1"/>
        <v>61</v>
      </c>
      <c r="B62" s="49" t="s">
        <v>33</v>
      </c>
      <c r="C62" s="59">
        <v>45627.0</v>
      </c>
      <c r="D62" s="52">
        <v>50.0</v>
      </c>
      <c r="E62" s="55">
        <v>24.0</v>
      </c>
      <c r="F62" s="56">
        <v>957.0</v>
      </c>
      <c r="G62" s="57">
        <v>3.0</v>
      </c>
      <c r="H62" s="58">
        <v>150.0</v>
      </c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49">
        <f t="shared" si="1"/>
        <v>62</v>
      </c>
      <c r="B63" s="49" t="s">
        <v>43</v>
      </c>
      <c r="C63" s="59">
        <v>45627.0</v>
      </c>
      <c r="D63" s="52">
        <v>56.0</v>
      </c>
      <c r="E63" s="55">
        <v>33.0</v>
      </c>
      <c r="F63" s="56">
        <v>1473.0</v>
      </c>
      <c r="G63" s="57">
        <v>4.0</v>
      </c>
      <c r="H63" s="58">
        <v>224.0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49">
        <f t="shared" si="1"/>
        <v>63</v>
      </c>
      <c r="B64" s="49" t="s">
        <v>37</v>
      </c>
      <c r="C64" s="59">
        <v>45627.0</v>
      </c>
      <c r="D64" s="52">
        <v>25.0</v>
      </c>
      <c r="E64" s="55">
        <v>22.0</v>
      </c>
      <c r="F64" s="56">
        <v>439.0</v>
      </c>
      <c r="G64" s="57">
        <v>6.0</v>
      </c>
      <c r="H64" s="58">
        <v>150.0</v>
      </c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49">
        <f t="shared" si="1"/>
        <v>64</v>
      </c>
      <c r="B65" s="49" t="s">
        <v>15</v>
      </c>
      <c r="C65" s="59">
        <v>45627.0</v>
      </c>
      <c r="D65" s="52">
        <v>70.0</v>
      </c>
      <c r="E65" s="55">
        <v>8.0</v>
      </c>
      <c r="F65" s="56">
        <v>447.0</v>
      </c>
      <c r="G65" s="57">
        <v>5.0</v>
      </c>
      <c r="H65" s="58">
        <v>350.0</v>
      </c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49">
        <f t="shared" si="1"/>
        <v>65</v>
      </c>
      <c r="B66" s="49" t="s">
        <v>48</v>
      </c>
      <c r="C66" s="59">
        <v>45627.0</v>
      </c>
      <c r="D66" s="52">
        <v>43.0</v>
      </c>
      <c r="E66" s="55">
        <v>10.0</v>
      </c>
      <c r="F66" s="56">
        <v>344.0</v>
      </c>
      <c r="G66" s="57">
        <v>3.0</v>
      </c>
      <c r="H66" s="58">
        <v>129.0</v>
      </c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49">
        <f t="shared" si="1"/>
        <v>66</v>
      </c>
      <c r="B67" s="49" t="s">
        <v>13</v>
      </c>
      <c r="C67" s="59">
        <v>45627.0</v>
      </c>
      <c r="D67" s="52">
        <v>40.0</v>
      </c>
      <c r="E67" s="55">
        <v>8.0</v>
      </c>
      <c r="F67" s="56">
        <v>255.0</v>
      </c>
      <c r="G67" s="57">
        <v>4.0</v>
      </c>
      <c r="H67" s="58">
        <v>160.0</v>
      </c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49">
        <f t="shared" si="1"/>
        <v>67</v>
      </c>
      <c r="B68" s="49" t="s">
        <v>41</v>
      </c>
      <c r="C68" s="59">
        <v>45627.0</v>
      </c>
      <c r="D68" s="52">
        <v>63.0</v>
      </c>
      <c r="E68" s="55">
        <v>14.0</v>
      </c>
      <c r="F68" s="56">
        <v>694.0</v>
      </c>
      <c r="G68" s="57">
        <v>1.0</v>
      </c>
      <c r="H68" s="58">
        <v>63.0</v>
      </c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49">
        <f t="shared" si="1"/>
        <v>68</v>
      </c>
      <c r="B69" s="49" t="s">
        <v>44</v>
      </c>
      <c r="C69" s="59">
        <v>45627.0</v>
      </c>
      <c r="D69" s="52">
        <v>81.0</v>
      </c>
      <c r="E69" s="55">
        <v>26.0</v>
      </c>
      <c r="F69" s="56">
        <v>1679.0</v>
      </c>
      <c r="G69" s="57">
        <v>3.0</v>
      </c>
      <c r="H69" s="58">
        <v>243.0</v>
      </c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49">
        <f t="shared" si="1"/>
        <v>69</v>
      </c>
      <c r="B70" s="49" t="s">
        <v>42</v>
      </c>
      <c r="C70" s="59">
        <v>45627.0</v>
      </c>
      <c r="D70" s="52">
        <v>20.0</v>
      </c>
      <c r="E70" s="55">
        <v>10.0</v>
      </c>
      <c r="F70" s="56">
        <v>160.0</v>
      </c>
      <c r="G70" s="57">
        <v>4.0</v>
      </c>
      <c r="H70" s="58">
        <v>80.0</v>
      </c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49">
        <f t="shared" si="1"/>
        <v>70</v>
      </c>
      <c r="B71" s="49" t="s">
        <v>40</v>
      </c>
      <c r="C71" s="59">
        <v>45627.0</v>
      </c>
      <c r="D71" s="52">
        <v>30.0</v>
      </c>
      <c r="E71" s="55">
        <v>11.0</v>
      </c>
      <c r="F71" s="56">
        <v>264.0</v>
      </c>
      <c r="G71" s="57">
        <v>7.0</v>
      </c>
      <c r="H71" s="58">
        <v>210.0</v>
      </c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49">
        <f t="shared" si="1"/>
        <v>71</v>
      </c>
      <c r="B72" s="49" t="s">
        <v>36</v>
      </c>
      <c r="C72" s="59">
        <v>45627.0</v>
      </c>
      <c r="D72" s="52">
        <v>19.0</v>
      </c>
      <c r="E72" s="17">
        <v>0.0</v>
      </c>
      <c r="F72" s="18">
        <v>0.0</v>
      </c>
      <c r="G72" s="57">
        <v>6.0</v>
      </c>
      <c r="H72" s="58">
        <v>114.0</v>
      </c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49">
        <f t="shared" si="1"/>
        <v>72</v>
      </c>
      <c r="B73" s="49" t="s">
        <v>29</v>
      </c>
      <c r="C73" s="59">
        <v>45627.0</v>
      </c>
      <c r="D73" s="52">
        <v>8.27</v>
      </c>
      <c r="E73" s="17">
        <v>0.0</v>
      </c>
      <c r="F73" s="18">
        <v>0.0</v>
      </c>
      <c r="G73" s="57">
        <v>20.0</v>
      </c>
      <c r="H73" s="58">
        <v>166.0</v>
      </c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49">
        <f t="shared" si="1"/>
        <v>73</v>
      </c>
      <c r="B74" s="49" t="s">
        <v>7</v>
      </c>
      <c r="C74" s="59">
        <v>45627.0</v>
      </c>
      <c r="D74" s="51" t="s">
        <v>74</v>
      </c>
      <c r="E74" s="55">
        <v>51.0</v>
      </c>
      <c r="F74" s="56">
        <v>6442.0</v>
      </c>
      <c r="G74" s="57">
        <v>8.0</v>
      </c>
      <c r="H74" s="58">
        <v>1268.0</v>
      </c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49">
        <f t="shared" si="1"/>
        <v>74</v>
      </c>
      <c r="B75" s="49" t="s">
        <v>9</v>
      </c>
      <c r="C75" s="59">
        <v>45627.0</v>
      </c>
      <c r="D75" s="51" t="s">
        <v>75</v>
      </c>
      <c r="E75" s="17">
        <v>0.0</v>
      </c>
      <c r="F75" s="18">
        <v>0.0</v>
      </c>
      <c r="G75" s="57">
        <v>9.0</v>
      </c>
      <c r="H75" s="58">
        <v>1223.0</v>
      </c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49">
        <f t="shared" si="1"/>
        <v>75</v>
      </c>
      <c r="B76" s="49" t="s">
        <v>11</v>
      </c>
      <c r="C76" s="59">
        <v>45627.0</v>
      </c>
      <c r="D76" s="51" t="s">
        <v>76</v>
      </c>
      <c r="E76" s="55">
        <v>191.0</v>
      </c>
      <c r="F76" s="56">
        <v>11720.0</v>
      </c>
      <c r="G76" s="57">
        <v>8.0</v>
      </c>
      <c r="H76" s="58">
        <v>616.0</v>
      </c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49">
        <f t="shared" si="1"/>
        <v>76</v>
      </c>
      <c r="B77" s="49" t="s">
        <v>36</v>
      </c>
      <c r="C77" s="53">
        <v>45717.0</v>
      </c>
      <c r="D77" s="52">
        <v>19.0</v>
      </c>
      <c r="E77" s="17">
        <v>0.0</v>
      </c>
      <c r="F77" s="18">
        <v>0.0</v>
      </c>
      <c r="G77" s="57">
        <v>6.0</v>
      </c>
      <c r="H77" s="58">
        <v>114.0</v>
      </c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49">
        <f t="shared" si="1"/>
        <v>77</v>
      </c>
      <c r="B78" s="49" t="s">
        <v>7</v>
      </c>
      <c r="C78" s="53">
        <v>45717.0</v>
      </c>
      <c r="D78" s="54" t="s">
        <v>77</v>
      </c>
      <c r="E78" s="55">
        <v>51.0</v>
      </c>
      <c r="F78" s="56">
        <v>4311.0</v>
      </c>
      <c r="G78" s="57">
        <v>13.0</v>
      </c>
      <c r="H78" s="58">
        <v>1379.0</v>
      </c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49">
        <f t="shared" si="1"/>
        <v>78</v>
      </c>
      <c r="B79" s="49" t="s">
        <v>29</v>
      </c>
      <c r="C79" s="53">
        <v>45717.0</v>
      </c>
      <c r="D79" s="52">
        <v>5.24</v>
      </c>
      <c r="E79" s="17">
        <v>0.0</v>
      </c>
      <c r="F79" s="18">
        <v>0.0</v>
      </c>
      <c r="G79" s="57">
        <v>20.0</v>
      </c>
      <c r="H79" s="58">
        <v>105.0</v>
      </c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49">
        <f t="shared" si="1"/>
        <v>79</v>
      </c>
      <c r="B80" s="49" t="s">
        <v>23</v>
      </c>
      <c r="C80" s="53">
        <v>45717.0</v>
      </c>
      <c r="D80" s="52">
        <v>76.0</v>
      </c>
      <c r="E80" s="17">
        <v>0.0</v>
      </c>
      <c r="F80" s="18">
        <v>0.0</v>
      </c>
      <c r="G80" s="57">
        <v>4.0</v>
      </c>
      <c r="H80" s="58">
        <v>304.0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49">
        <f t="shared" si="1"/>
        <v>80</v>
      </c>
      <c r="B81" s="49" t="s">
        <v>9</v>
      </c>
      <c r="C81" s="53">
        <v>45717.0</v>
      </c>
      <c r="D81" s="54" t="s">
        <v>71</v>
      </c>
      <c r="E81" s="17">
        <v>0.0</v>
      </c>
      <c r="F81" s="18">
        <v>0.0</v>
      </c>
      <c r="G81" s="57">
        <v>12.0</v>
      </c>
      <c r="H81" s="58">
        <v>1378.0</v>
      </c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49">
        <f t="shared" si="1"/>
        <v>81</v>
      </c>
      <c r="B82" s="49" t="s">
        <v>11</v>
      </c>
      <c r="C82" s="53">
        <v>45717.0</v>
      </c>
      <c r="D82" s="54" t="s">
        <v>78</v>
      </c>
      <c r="E82" s="55">
        <v>191.0</v>
      </c>
      <c r="F82" s="56">
        <v>8562.0</v>
      </c>
      <c r="G82" s="57">
        <v>8.0</v>
      </c>
      <c r="H82" s="58">
        <v>450.0</v>
      </c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49">
        <f t="shared" si="1"/>
        <v>82</v>
      </c>
      <c r="B83" s="49" t="s">
        <v>21</v>
      </c>
      <c r="C83" s="53">
        <v>45717.0</v>
      </c>
      <c r="D83" s="52">
        <v>28.0</v>
      </c>
      <c r="E83" s="17">
        <v>0.0</v>
      </c>
      <c r="F83" s="18">
        <v>0.0</v>
      </c>
      <c r="G83" s="57">
        <v>10.0</v>
      </c>
      <c r="H83" s="58">
        <v>280.0</v>
      </c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49">
        <f t="shared" si="1"/>
        <v>83</v>
      </c>
      <c r="B84" s="49" t="s">
        <v>20</v>
      </c>
      <c r="C84" s="53">
        <v>45717.0</v>
      </c>
      <c r="D84" s="52">
        <v>97.0</v>
      </c>
      <c r="E84" s="17">
        <v>0.0</v>
      </c>
      <c r="F84" s="18">
        <v>0.0</v>
      </c>
      <c r="G84" s="57">
        <v>5.0</v>
      </c>
      <c r="H84" s="58">
        <v>485.0</v>
      </c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49">
        <f t="shared" si="1"/>
        <v>84</v>
      </c>
      <c r="B85" s="49" t="s">
        <v>17</v>
      </c>
      <c r="C85" s="53">
        <v>45717.0</v>
      </c>
      <c r="D85" s="52">
        <v>26.0</v>
      </c>
      <c r="E85" s="55">
        <v>64.0</v>
      </c>
      <c r="F85" s="56">
        <v>1327.0</v>
      </c>
      <c r="G85" s="57">
        <v>10.0</v>
      </c>
      <c r="H85" s="58">
        <v>260.0</v>
      </c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49">
        <f t="shared" si="1"/>
        <v>85</v>
      </c>
      <c r="B86" s="49" t="s">
        <v>30</v>
      </c>
      <c r="C86" s="53">
        <v>45717.0</v>
      </c>
      <c r="D86" s="52">
        <v>80.0</v>
      </c>
      <c r="E86" s="55">
        <v>2.0</v>
      </c>
      <c r="F86" s="56">
        <v>128.0</v>
      </c>
      <c r="G86" s="57">
        <v>3.0</v>
      </c>
      <c r="H86" s="58">
        <v>240.0</v>
      </c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49">
        <f t="shared" si="1"/>
        <v>86</v>
      </c>
      <c r="B87" s="49" t="s">
        <v>18</v>
      </c>
      <c r="C87" s="53">
        <v>45717.0</v>
      </c>
      <c r="D87" s="52">
        <v>35.5</v>
      </c>
      <c r="E87" s="55">
        <v>9.0</v>
      </c>
      <c r="F87" s="56">
        <v>256.0</v>
      </c>
      <c r="G87" s="57">
        <v>2.0</v>
      </c>
      <c r="H87" s="58">
        <v>72.0</v>
      </c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49">
        <f t="shared" si="1"/>
        <v>87</v>
      </c>
      <c r="B88" s="49" t="s">
        <v>14</v>
      </c>
      <c r="C88" s="53">
        <v>45717.0</v>
      </c>
      <c r="D88" s="52">
        <v>80.0</v>
      </c>
      <c r="E88" s="55">
        <v>16.0</v>
      </c>
      <c r="F88" s="56">
        <v>1020.0</v>
      </c>
      <c r="G88" s="57">
        <v>6.0</v>
      </c>
      <c r="H88" s="58">
        <v>480.0</v>
      </c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49">
        <f t="shared" si="1"/>
        <v>88</v>
      </c>
      <c r="B89" s="49" t="s">
        <v>12</v>
      </c>
      <c r="C89" s="53">
        <v>45717.0</v>
      </c>
      <c r="D89" s="52">
        <v>43.0</v>
      </c>
      <c r="E89" s="17">
        <v>0.0</v>
      </c>
      <c r="F89" s="18">
        <v>0.0</v>
      </c>
      <c r="G89" s="57">
        <v>13.0</v>
      </c>
      <c r="H89" s="58">
        <v>559.0</v>
      </c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49">
        <f t="shared" si="1"/>
        <v>89</v>
      </c>
      <c r="B90" s="49" t="s">
        <v>16</v>
      </c>
      <c r="C90" s="53">
        <v>45748.0</v>
      </c>
      <c r="D90" s="52">
        <v>71.0</v>
      </c>
      <c r="E90" s="55">
        <v>15.0</v>
      </c>
      <c r="F90" s="56">
        <v>849.0</v>
      </c>
      <c r="G90" s="57">
        <v>4.0</v>
      </c>
      <c r="H90" s="58">
        <v>284.0</v>
      </c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49">
        <f t="shared" si="1"/>
        <v>90</v>
      </c>
      <c r="B91" s="49" t="s">
        <v>32</v>
      </c>
      <c r="C91" s="53">
        <v>45809.0</v>
      </c>
      <c r="D91" s="52">
        <v>50.0</v>
      </c>
      <c r="E91" s="55">
        <v>9.0</v>
      </c>
      <c r="F91" s="56">
        <v>360.0</v>
      </c>
      <c r="G91" s="57">
        <v>7.0</v>
      </c>
      <c r="H91" s="58">
        <v>350.0</v>
      </c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49">
        <f t="shared" si="1"/>
        <v>91</v>
      </c>
      <c r="B92" s="49" t="s">
        <v>19</v>
      </c>
      <c r="C92" s="53">
        <v>45809.0</v>
      </c>
      <c r="D92" s="52">
        <v>75.0</v>
      </c>
      <c r="E92" s="55">
        <v>17.0</v>
      </c>
      <c r="F92" s="56">
        <v>1017.0</v>
      </c>
      <c r="G92" s="57">
        <v>10.0</v>
      </c>
      <c r="H92" s="58">
        <v>750.0</v>
      </c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49">
        <f t="shared" si="1"/>
        <v>92</v>
      </c>
      <c r="B93" s="49" t="s">
        <v>41</v>
      </c>
      <c r="C93" s="53">
        <v>45809.0</v>
      </c>
      <c r="D93" s="52">
        <v>57.84</v>
      </c>
      <c r="E93" s="55">
        <v>14.0</v>
      </c>
      <c r="F93" s="56">
        <v>646.0</v>
      </c>
      <c r="G93" s="57">
        <v>2.0</v>
      </c>
      <c r="H93" s="58">
        <v>117.0</v>
      </c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49">
        <f t="shared" si="1"/>
        <v>93</v>
      </c>
      <c r="B94" s="49" t="s">
        <v>42</v>
      </c>
      <c r="C94" s="53">
        <v>45809.0</v>
      </c>
      <c r="D94" s="52">
        <v>20.0</v>
      </c>
      <c r="E94" s="55">
        <v>10.0</v>
      </c>
      <c r="F94" s="56">
        <v>160.0</v>
      </c>
      <c r="G94" s="57">
        <v>6.0</v>
      </c>
      <c r="H94" s="58">
        <v>120.0</v>
      </c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49">
        <f t="shared" si="1"/>
        <v>94</v>
      </c>
      <c r="B95" s="49" t="s">
        <v>40</v>
      </c>
      <c r="C95" s="53">
        <v>45809.0</v>
      </c>
      <c r="D95" s="52">
        <v>140.0</v>
      </c>
      <c r="E95" s="55">
        <v>11.0</v>
      </c>
      <c r="F95" s="56">
        <v>1228.0</v>
      </c>
      <c r="G95" s="57">
        <v>9.0</v>
      </c>
      <c r="H95" s="58">
        <v>1260.0</v>
      </c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49">
        <f t="shared" si="1"/>
        <v>95</v>
      </c>
      <c r="B96" s="49" t="s">
        <v>39</v>
      </c>
      <c r="C96" s="53">
        <v>45809.0</v>
      </c>
      <c r="D96" s="52">
        <v>5.5</v>
      </c>
      <c r="E96" s="17">
        <v>0.0</v>
      </c>
      <c r="F96" s="18">
        <v>0.0</v>
      </c>
      <c r="G96" s="57">
        <v>50.0</v>
      </c>
      <c r="H96" s="58">
        <v>275.0</v>
      </c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49">
        <f t="shared" si="1"/>
        <v>96</v>
      </c>
      <c r="B97" s="49" t="s">
        <v>48</v>
      </c>
      <c r="C97" s="53">
        <v>45809.0</v>
      </c>
      <c r="D97" s="52">
        <v>4.3</v>
      </c>
      <c r="E97" s="55">
        <v>100.0</v>
      </c>
      <c r="F97" s="56">
        <v>344.0</v>
      </c>
      <c r="G97" s="57">
        <v>30.0</v>
      </c>
      <c r="H97" s="58">
        <v>129.0</v>
      </c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49">
        <f t="shared" si="1"/>
        <v>97</v>
      </c>
      <c r="B98" s="49" t="s">
        <v>47</v>
      </c>
      <c r="C98" s="53">
        <v>45809.0</v>
      </c>
      <c r="D98" s="52">
        <v>75.0</v>
      </c>
      <c r="E98" s="55">
        <v>8.0</v>
      </c>
      <c r="F98" s="56">
        <v>479.0</v>
      </c>
      <c r="G98" s="57">
        <v>6.0</v>
      </c>
      <c r="H98" s="58">
        <v>450.0</v>
      </c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49">
        <f t="shared" si="1"/>
        <v>98</v>
      </c>
      <c r="B99" s="49" t="s">
        <v>45</v>
      </c>
      <c r="C99" s="53">
        <v>45809.0</v>
      </c>
      <c r="D99" s="52">
        <v>195.0</v>
      </c>
      <c r="E99" s="17">
        <v>0.0</v>
      </c>
      <c r="F99" s="18">
        <v>0.0</v>
      </c>
      <c r="G99" s="57">
        <v>1.0</v>
      </c>
      <c r="H99" s="58">
        <v>195.0</v>
      </c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49">
        <f t="shared" si="1"/>
        <v>99</v>
      </c>
      <c r="B100" s="49" t="s">
        <v>33</v>
      </c>
      <c r="C100" s="53">
        <v>45809.0</v>
      </c>
      <c r="D100" s="52">
        <v>50.0</v>
      </c>
      <c r="E100" s="55">
        <v>24.0</v>
      </c>
      <c r="F100" s="56">
        <v>957.0</v>
      </c>
      <c r="G100" s="57">
        <v>6.0</v>
      </c>
      <c r="H100" s="58">
        <v>300.0</v>
      </c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49">
        <f t="shared" si="1"/>
        <v>100</v>
      </c>
      <c r="B101" s="49" t="s">
        <v>46</v>
      </c>
      <c r="C101" s="53">
        <v>45809.0</v>
      </c>
      <c r="D101" s="52">
        <v>2.6</v>
      </c>
      <c r="E101" s="17">
        <v>0.0</v>
      </c>
      <c r="F101" s="18">
        <v>0.0</v>
      </c>
      <c r="G101" s="57">
        <v>125.0</v>
      </c>
      <c r="H101" s="58">
        <v>325.0</v>
      </c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49">
        <f t="shared" si="1"/>
        <v>101</v>
      </c>
      <c r="B102" s="49" t="s">
        <v>29</v>
      </c>
      <c r="C102" s="53">
        <v>45809.0</v>
      </c>
      <c r="D102" s="52">
        <v>13.8</v>
      </c>
      <c r="E102" s="17">
        <v>0.0</v>
      </c>
      <c r="F102" s="18">
        <v>0.0</v>
      </c>
      <c r="G102" s="57">
        <v>20.0</v>
      </c>
      <c r="H102" s="58">
        <v>276.0</v>
      </c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49">
        <f t="shared" si="1"/>
        <v>102</v>
      </c>
      <c r="B103" s="49" t="s">
        <v>28</v>
      </c>
      <c r="C103" s="53">
        <v>45809.0</v>
      </c>
      <c r="D103" s="52">
        <v>107.0</v>
      </c>
      <c r="E103" s="17">
        <v>0.0</v>
      </c>
      <c r="F103" s="18">
        <v>0.0</v>
      </c>
      <c r="G103" s="57">
        <v>2.0</v>
      </c>
      <c r="H103" s="58">
        <v>214.0</v>
      </c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49">
        <f t="shared" si="1"/>
        <v>103</v>
      </c>
      <c r="B104" s="49" t="s">
        <v>7</v>
      </c>
      <c r="C104" s="53">
        <v>45809.0</v>
      </c>
      <c r="D104" s="54" t="s">
        <v>79</v>
      </c>
      <c r="E104" s="55">
        <v>51.0</v>
      </c>
      <c r="F104" s="56">
        <v>4821.0</v>
      </c>
      <c r="G104" s="57">
        <v>16.0</v>
      </c>
      <c r="H104" s="58">
        <v>1898.0</v>
      </c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49">
        <f t="shared" si="1"/>
        <v>104</v>
      </c>
      <c r="B105" s="49" t="s">
        <v>35</v>
      </c>
      <c r="C105" s="53">
        <v>45809.0</v>
      </c>
      <c r="D105" s="52">
        <v>50.0</v>
      </c>
      <c r="E105" s="55">
        <v>15.0</v>
      </c>
      <c r="F105" s="56">
        <v>599.0</v>
      </c>
      <c r="G105" s="57">
        <v>6.0</v>
      </c>
      <c r="H105" s="58">
        <v>300.0</v>
      </c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49">
        <f t="shared" si="1"/>
        <v>105</v>
      </c>
      <c r="B106" s="49" t="s">
        <v>34</v>
      </c>
      <c r="C106" s="53">
        <v>45809.0</v>
      </c>
      <c r="D106" s="52">
        <v>65.0</v>
      </c>
      <c r="E106" s="55">
        <v>9.0</v>
      </c>
      <c r="F106" s="56">
        <v>467.0</v>
      </c>
      <c r="G106" s="57">
        <v>5.0</v>
      </c>
      <c r="H106" s="58">
        <v>325.0</v>
      </c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49">
        <f t="shared" si="1"/>
        <v>106</v>
      </c>
      <c r="B107" s="49" t="s">
        <v>31</v>
      </c>
      <c r="C107" s="53">
        <v>45809.0</v>
      </c>
      <c r="D107" s="52">
        <v>100.0</v>
      </c>
      <c r="E107" s="55">
        <v>6.0</v>
      </c>
      <c r="F107" s="56">
        <v>479.0</v>
      </c>
      <c r="G107" s="57">
        <v>3.0</v>
      </c>
      <c r="H107" s="58">
        <v>300.0</v>
      </c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49">
        <f t="shared" si="1"/>
        <v>107</v>
      </c>
      <c r="B108" s="49" t="s">
        <v>44</v>
      </c>
      <c r="C108" s="53">
        <v>45809.0</v>
      </c>
      <c r="D108" s="52">
        <v>91.0</v>
      </c>
      <c r="E108" s="55">
        <v>26.0</v>
      </c>
      <c r="F108" s="56">
        <v>1886.0</v>
      </c>
      <c r="G108" s="57">
        <v>5.0</v>
      </c>
      <c r="H108" s="58">
        <v>455.0</v>
      </c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49">
        <f t="shared" si="1"/>
        <v>108</v>
      </c>
      <c r="B109" s="49" t="s">
        <v>43</v>
      </c>
      <c r="C109" s="53">
        <v>45809.0</v>
      </c>
      <c r="D109" s="52">
        <v>76.0</v>
      </c>
      <c r="E109" s="55">
        <v>33.0</v>
      </c>
      <c r="F109" s="56">
        <v>1999.0</v>
      </c>
      <c r="G109" s="57">
        <v>5.0</v>
      </c>
      <c r="H109" s="58">
        <v>380.0</v>
      </c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49">
        <f t="shared" si="1"/>
        <v>109</v>
      </c>
      <c r="B110" s="49" t="s">
        <v>9</v>
      </c>
      <c r="C110" s="53">
        <v>45809.0</v>
      </c>
      <c r="D110" s="54" t="s">
        <v>80</v>
      </c>
      <c r="E110" s="17">
        <v>0.0</v>
      </c>
      <c r="F110" s="18">
        <v>0.0</v>
      </c>
      <c r="G110" s="57">
        <v>17.0</v>
      </c>
      <c r="H110" s="58">
        <v>1908.0</v>
      </c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49">
        <f t="shared" si="1"/>
        <v>110</v>
      </c>
      <c r="B111" s="49" t="s">
        <v>36</v>
      </c>
      <c r="C111" s="53">
        <v>45809.0</v>
      </c>
      <c r="D111" s="52">
        <v>22.0</v>
      </c>
      <c r="E111" s="17">
        <v>0.0</v>
      </c>
      <c r="F111" s="18">
        <v>0.0</v>
      </c>
      <c r="G111" s="57">
        <v>7.0</v>
      </c>
      <c r="H111" s="58">
        <v>154.0</v>
      </c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49">
        <f t="shared" si="1"/>
        <v>111</v>
      </c>
      <c r="B112" s="49" t="s">
        <v>11</v>
      </c>
      <c r="C112" s="53">
        <v>45809.0</v>
      </c>
      <c r="D112" s="54" t="s">
        <v>81</v>
      </c>
      <c r="E112" s="55">
        <v>191.0</v>
      </c>
      <c r="F112" s="56">
        <v>9858.0</v>
      </c>
      <c r="G112" s="57">
        <v>9.0</v>
      </c>
      <c r="H112" s="58">
        <v>583.0</v>
      </c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49">
        <f t="shared" si="1"/>
        <v>112</v>
      </c>
      <c r="B113" s="49" t="s">
        <v>24</v>
      </c>
      <c r="C113" s="53">
        <v>45809.0</v>
      </c>
      <c r="D113" s="52">
        <v>98.0</v>
      </c>
      <c r="E113" s="55">
        <v>26.0</v>
      </c>
      <c r="F113" s="56">
        <v>2031.0</v>
      </c>
      <c r="G113" s="57">
        <v>5.0</v>
      </c>
      <c r="H113" s="58">
        <v>490.0</v>
      </c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49">
        <f t="shared" si="1"/>
        <v>113</v>
      </c>
      <c r="B114" s="49" t="s">
        <v>49</v>
      </c>
      <c r="C114" s="53">
        <v>45809.0</v>
      </c>
      <c r="D114" s="52">
        <v>50.0</v>
      </c>
      <c r="E114" s="55">
        <v>13.0</v>
      </c>
      <c r="F114" s="56">
        <v>519.0</v>
      </c>
      <c r="G114" s="57">
        <v>11.0</v>
      </c>
      <c r="H114" s="58">
        <v>550.0</v>
      </c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49">
        <f t="shared" si="1"/>
        <v>114</v>
      </c>
      <c r="B115" s="49" t="s">
        <v>25</v>
      </c>
      <c r="C115" s="53">
        <v>45809.0</v>
      </c>
      <c r="D115" s="52">
        <v>13.0</v>
      </c>
      <c r="E115" s="17">
        <v>0.0</v>
      </c>
      <c r="F115" s="18">
        <v>0.0</v>
      </c>
      <c r="G115" s="57">
        <v>4.0</v>
      </c>
      <c r="H115" s="58">
        <v>52.0</v>
      </c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49">
        <f t="shared" si="1"/>
        <v>115</v>
      </c>
      <c r="B116" s="49" t="s">
        <v>37</v>
      </c>
      <c r="C116" s="53">
        <v>45809.0</v>
      </c>
      <c r="D116" s="52">
        <v>39.0</v>
      </c>
      <c r="E116" s="55">
        <v>22.0</v>
      </c>
      <c r="F116" s="56">
        <v>685.0</v>
      </c>
      <c r="G116" s="57">
        <v>7.0</v>
      </c>
      <c r="H116" s="58">
        <v>273.0</v>
      </c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49">
        <f t="shared" si="1"/>
        <v>116</v>
      </c>
      <c r="B117" s="49" t="s">
        <v>15</v>
      </c>
      <c r="C117" s="53">
        <v>45809.0</v>
      </c>
      <c r="D117" s="52">
        <v>80.0</v>
      </c>
      <c r="E117" s="55">
        <v>8.0</v>
      </c>
      <c r="F117" s="56">
        <v>510.0</v>
      </c>
      <c r="G117" s="57">
        <v>5.0</v>
      </c>
      <c r="H117" s="58">
        <v>400.0</v>
      </c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49">
        <f t="shared" si="1"/>
        <v>117</v>
      </c>
      <c r="B118" s="49" t="s">
        <v>13</v>
      </c>
      <c r="C118" s="53">
        <v>45809.0</v>
      </c>
      <c r="D118" s="52">
        <v>45.0</v>
      </c>
      <c r="E118" s="55">
        <v>8.0</v>
      </c>
      <c r="F118" s="56">
        <v>287.0</v>
      </c>
      <c r="G118" s="57">
        <v>6.0</v>
      </c>
      <c r="H118" s="58">
        <v>270.0</v>
      </c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49">
        <f t="shared" si="1"/>
        <v>118</v>
      </c>
      <c r="B119" s="49" t="s">
        <v>38</v>
      </c>
      <c r="C119" s="53">
        <v>45839.0</v>
      </c>
      <c r="D119" s="52">
        <v>62.0</v>
      </c>
      <c r="E119" s="55">
        <v>30.0</v>
      </c>
      <c r="F119" s="56">
        <v>1483.0</v>
      </c>
      <c r="G119" s="57">
        <v>4.0</v>
      </c>
      <c r="H119" s="58">
        <v>248.0</v>
      </c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49">
        <f t="shared" si="1"/>
        <v>119</v>
      </c>
      <c r="B120" s="49" t="s">
        <v>30</v>
      </c>
      <c r="C120" s="53">
        <v>45870.0</v>
      </c>
      <c r="D120" s="52">
        <v>80.0</v>
      </c>
      <c r="E120" s="55">
        <v>2.0</v>
      </c>
      <c r="F120" s="56">
        <v>128.0</v>
      </c>
      <c r="G120" s="57">
        <v>5.0</v>
      </c>
      <c r="H120" s="58">
        <v>400.0</v>
      </c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49">
        <f t="shared" si="1"/>
        <v>120</v>
      </c>
      <c r="B121" s="49" t="s">
        <v>26</v>
      </c>
      <c r="C121" s="53">
        <v>45901.0</v>
      </c>
      <c r="D121" s="52">
        <v>115.0</v>
      </c>
      <c r="E121" s="17">
        <v>0.0</v>
      </c>
      <c r="F121" s="18">
        <v>0.0</v>
      </c>
      <c r="G121" s="57">
        <v>4.0</v>
      </c>
      <c r="H121" s="58">
        <v>460.0</v>
      </c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49">
        <f t="shared" si="1"/>
        <v>121</v>
      </c>
      <c r="B122" s="49" t="s">
        <v>23</v>
      </c>
      <c r="C122" s="53">
        <v>45901.0</v>
      </c>
      <c r="D122" s="52">
        <v>77.0</v>
      </c>
      <c r="E122" s="17">
        <v>0.0</v>
      </c>
      <c r="F122" s="18">
        <v>0.0</v>
      </c>
      <c r="G122" s="57">
        <v>5.0</v>
      </c>
      <c r="H122" s="58">
        <v>385.0</v>
      </c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49">
        <f t="shared" si="1"/>
        <v>122</v>
      </c>
      <c r="B123" s="49" t="s">
        <v>20</v>
      </c>
      <c r="C123" s="53">
        <v>45901.0</v>
      </c>
      <c r="D123" s="52">
        <v>104.0</v>
      </c>
      <c r="E123" s="17">
        <v>0.0</v>
      </c>
      <c r="F123" s="18">
        <v>0.0</v>
      </c>
      <c r="G123" s="57">
        <v>6.0</v>
      </c>
      <c r="H123" s="58">
        <v>624.0</v>
      </c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49">
        <f t="shared" si="1"/>
        <v>123</v>
      </c>
      <c r="B124" s="49" t="s">
        <v>12</v>
      </c>
      <c r="C124" s="53">
        <v>45901.0</v>
      </c>
      <c r="D124" s="52">
        <v>50.0</v>
      </c>
      <c r="E124" s="17">
        <v>0.0</v>
      </c>
      <c r="F124" s="18">
        <v>0.0</v>
      </c>
      <c r="G124" s="57">
        <v>26.0</v>
      </c>
      <c r="H124" s="58">
        <v>1300.0</v>
      </c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49">
        <f t="shared" si="1"/>
        <v>124</v>
      </c>
      <c r="B125" s="49" t="s">
        <v>36</v>
      </c>
      <c r="C125" s="53">
        <v>45901.0</v>
      </c>
      <c r="D125" s="52">
        <v>22.0</v>
      </c>
      <c r="E125" s="17">
        <v>0.0</v>
      </c>
      <c r="F125" s="18">
        <v>0.0</v>
      </c>
      <c r="G125" s="57">
        <v>9.0</v>
      </c>
      <c r="H125" s="58">
        <v>198.0</v>
      </c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49">
        <f t="shared" si="1"/>
        <v>125</v>
      </c>
      <c r="B126" s="49" t="s">
        <v>21</v>
      </c>
      <c r="C126" s="53">
        <v>45901.0</v>
      </c>
      <c r="D126" s="52">
        <v>28.5</v>
      </c>
      <c r="E126" s="17">
        <v>0.0</v>
      </c>
      <c r="F126" s="18">
        <v>0.0</v>
      </c>
      <c r="G126" s="57">
        <v>12.0</v>
      </c>
      <c r="H126" s="58">
        <v>342.0</v>
      </c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49">
        <f t="shared" si="1"/>
        <v>126</v>
      </c>
      <c r="B127" s="49" t="s">
        <v>18</v>
      </c>
      <c r="C127" s="53">
        <v>45901.0</v>
      </c>
      <c r="D127" s="52">
        <v>37.0</v>
      </c>
      <c r="E127" s="55">
        <v>9.0</v>
      </c>
      <c r="F127" s="56">
        <v>267.0</v>
      </c>
      <c r="G127" s="57">
        <v>4.0</v>
      </c>
      <c r="H127" s="58">
        <v>148.0</v>
      </c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49">
        <f t="shared" si="1"/>
        <v>127</v>
      </c>
      <c r="B128" s="49" t="s">
        <v>14</v>
      </c>
      <c r="C128" s="53">
        <v>45901.0</v>
      </c>
      <c r="D128" s="52">
        <v>75.0</v>
      </c>
      <c r="E128" s="55">
        <v>16.0</v>
      </c>
      <c r="F128" s="56">
        <v>957.0</v>
      </c>
      <c r="G128" s="57">
        <v>9.0</v>
      </c>
      <c r="H128" s="58">
        <v>675.0</v>
      </c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49">
        <f t="shared" si="1"/>
        <v>128</v>
      </c>
      <c r="B129" s="49" t="s">
        <v>29</v>
      </c>
      <c r="C129" s="53">
        <v>45901.0</v>
      </c>
      <c r="D129" s="52">
        <v>20.43</v>
      </c>
      <c r="E129" s="17">
        <v>0.0</v>
      </c>
      <c r="F129" s="18">
        <v>0.0</v>
      </c>
      <c r="G129" s="57">
        <v>20.0</v>
      </c>
      <c r="H129" s="58">
        <v>409.0</v>
      </c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49">
        <f t="shared" si="1"/>
        <v>129</v>
      </c>
      <c r="B130" s="49" t="s">
        <v>7</v>
      </c>
      <c r="C130" s="53">
        <v>45901.0</v>
      </c>
      <c r="D130" s="54" t="s">
        <v>82</v>
      </c>
      <c r="E130" s="55">
        <v>51.0</v>
      </c>
      <c r="F130" s="56">
        <v>5111.0</v>
      </c>
      <c r="G130" s="57">
        <v>17.0</v>
      </c>
      <c r="H130" s="58">
        <v>2138.0</v>
      </c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49">
        <f t="shared" si="1"/>
        <v>130</v>
      </c>
      <c r="B131" s="49" t="s">
        <v>9</v>
      </c>
      <c r="C131" s="53">
        <v>45901.0</v>
      </c>
      <c r="D131" s="54" t="s">
        <v>67</v>
      </c>
      <c r="E131" s="17">
        <v>0.0</v>
      </c>
      <c r="F131" s="18">
        <v>0.0</v>
      </c>
      <c r="G131" s="57">
        <v>18.0</v>
      </c>
      <c r="H131" s="58">
        <v>2010.0</v>
      </c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49">
        <f t="shared" si="1"/>
        <v>131</v>
      </c>
      <c r="B132" s="49" t="s">
        <v>11</v>
      </c>
      <c r="C132" s="53">
        <v>45901.0</v>
      </c>
      <c r="D132" s="54" t="s">
        <v>83</v>
      </c>
      <c r="E132" s="55">
        <v>191.0</v>
      </c>
      <c r="F132" s="56">
        <v>9842.0</v>
      </c>
      <c r="G132" s="57">
        <v>9.0</v>
      </c>
      <c r="H132" s="58">
        <v>582.0</v>
      </c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49">
        <f t="shared" si="1"/>
        <v>132</v>
      </c>
      <c r="B133" s="49" t="s">
        <v>16</v>
      </c>
      <c r="C133" s="53">
        <v>45901.0</v>
      </c>
      <c r="D133" s="52">
        <v>72.0</v>
      </c>
      <c r="E133" s="55">
        <v>15.0</v>
      </c>
      <c r="F133" s="56">
        <v>861.0</v>
      </c>
      <c r="G133" s="57">
        <v>9.0</v>
      </c>
      <c r="H133" s="58">
        <v>648.0</v>
      </c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49">
        <f t="shared" si="1"/>
        <v>133</v>
      </c>
      <c r="B134" s="49" t="s">
        <v>49</v>
      </c>
      <c r="C134" s="53">
        <v>45962.0</v>
      </c>
      <c r="D134" s="52">
        <v>50.0</v>
      </c>
      <c r="E134" s="55">
        <v>13.0</v>
      </c>
      <c r="F134" s="56">
        <v>519.0</v>
      </c>
      <c r="G134" s="57">
        <v>14.0</v>
      </c>
      <c r="H134" s="58">
        <v>700.0</v>
      </c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49">
        <f t="shared" si="1"/>
        <v>134</v>
      </c>
      <c r="B135" s="49" t="s">
        <v>46</v>
      </c>
      <c r="C135" s="53">
        <v>45962.0</v>
      </c>
      <c r="D135" s="52">
        <v>2.65</v>
      </c>
      <c r="E135" s="17">
        <v>0.0</v>
      </c>
      <c r="F135" s="18">
        <v>0.0</v>
      </c>
      <c r="G135" s="57">
        <v>125.0</v>
      </c>
      <c r="H135" s="58">
        <v>332.0</v>
      </c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49">
        <f t="shared" si="1"/>
        <v>135</v>
      </c>
      <c r="B136" s="49" t="s">
        <v>39</v>
      </c>
      <c r="C136" s="53">
        <v>45992.0</v>
      </c>
      <c r="D136" s="52">
        <v>5.5</v>
      </c>
      <c r="E136" s="17">
        <v>0.0</v>
      </c>
      <c r="F136" s="18">
        <v>0.0</v>
      </c>
      <c r="G136" s="57">
        <v>50.0</v>
      </c>
      <c r="H136" s="58">
        <v>275.0</v>
      </c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49">
        <f t="shared" si="1"/>
        <v>136</v>
      </c>
      <c r="B137" s="49" t="s">
        <v>35</v>
      </c>
      <c r="C137" s="53">
        <v>45992.0</v>
      </c>
      <c r="D137" s="52">
        <v>55.0</v>
      </c>
      <c r="E137" s="55">
        <v>15.0</v>
      </c>
      <c r="F137" s="56">
        <v>658.0</v>
      </c>
      <c r="G137" s="57">
        <v>9.0</v>
      </c>
      <c r="H137" s="58">
        <v>495.0</v>
      </c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49">
        <f t="shared" si="1"/>
        <v>137</v>
      </c>
      <c r="B138" s="49" t="s">
        <v>34</v>
      </c>
      <c r="C138" s="53">
        <v>45992.0</v>
      </c>
      <c r="D138" s="52">
        <v>70.0</v>
      </c>
      <c r="E138" s="55">
        <v>9.0</v>
      </c>
      <c r="F138" s="56">
        <v>503.0</v>
      </c>
      <c r="G138" s="57">
        <v>8.0</v>
      </c>
      <c r="H138" s="58">
        <v>560.0</v>
      </c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49">
        <f t="shared" si="1"/>
        <v>138</v>
      </c>
      <c r="B139" s="49" t="s">
        <v>32</v>
      </c>
      <c r="C139" s="53">
        <v>45992.0</v>
      </c>
      <c r="D139" s="52">
        <v>50.0</v>
      </c>
      <c r="E139" s="55">
        <v>9.0</v>
      </c>
      <c r="F139" s="56">
        <v>360.0</v>
      </c>
      <c r="G139" s="57">
        <v>9.0</v>
      </c>
      <c r="H139" s="58">
        <v>450.0</v>
      </c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49">
        <f t="shared" si="1"/>
        <v>139</v>
      </c>
      <c r="B140" s="49" t="s">
        <v>28</v>
      </c>
      <c r="C140" s="53">
        <v>45992.0</v>
      </c>
      <c r="D140" s="52">
        <v>95.0</v>
      </c>
      <c r="E140" s="17">
        <v>0.0</v>
      </c>
      <c r="F140" s="18">
        <v>0.0</v>
      </c>
      <c r="G140" s="57">
        <v>9.0</v>
      </c>
      <c r="H140" s="58">
        <v>855.0</v>
      </c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49">
        <f t="shared" si="1"/>
        <v>140</v>
      </c>
      <c r="B141" s="49" t="s">
        <v>24</v>
      </c>
      <c r="C141" s="53">
        <v>45992.0</v>
      </c>
      <c r="D141" s="52">
        <v>100.0</v>
      </c>
      <c r="E141" s="55">
        <v>26.0</v>
      </c>
      <c r="F141" s="56">
        <v>2072.0</v>
      </c>
      <c r="G141" s="57">
        <v>7.0</v>
      </c>
      <c r="H141" s="58">
        <v>700.0</v>
      </c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49">
        <f t="shared" si="1"/>
        <v>141</v>
      </c>
      <c r="B142" s="49" t="s">
        <v>19</v>
      </c>
      <c r="C142" s="53">
        <v>45992.0</v>
      </c>
      <c r="D142" s="52">
        <v>82.5</v>
      </c>
      <c r="E142" s="55">
        <v>17.0</v>
      </c>
      <c r="F142" s="56">
        <v>1118.0</v>
      </c>
      <c r="G142" s="57">
        <v>13.0</v>
      </c>
      <c r="H142" s="58">
        <v>1073.0</v>
      </c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49">
        <f t="shared" si="1"/>
        <v>142</v>
      </c>
      <c r="B143" s="49" t="s">
        <v>38</v>
      </c>
      <c r="C143" s="53">
        <v>45992.0</v>
      </c>
      <c r="D143" s="52">
        <v>78.0</v>
      </c>
      <c r="E143" s="55">
        <v>30.0</v>
      </c>
      <c r="F143" s="56">
        <v>1865.0</v>
      </c>
      <c r="G143" s="57">
        <v>6.0</v>
      </c>
      <c r="H143" s="58">
        <v>468.0</v>
      </c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49">
        <f t="shared" si="1"/>
        <v>143</v>
      </c>
      <c r="B144" s="49" t="s">
        <v>33</v>
      </c>
      <c r="C144" s="53">
        <v>45992.0</v>
      </c>
      <c r="D144" s="52">
        <v>55.0</v>
      </c>
      <c r="E144" s="55">
        <v>24.0</v>
      </c>
      <c r="F144" s="56">
        <v>1052.0</v>
      </c>
      <c r="G144" s="57">
        <v>7.0</v>
      </c>
      <c r="H144" s="58">
        <v>385.0</v>
      </c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49">
        <f t="shared" si="1"/>
        <v>144</v>
      </c>
      <c r="B145" s="49" t="s">
        <v>31</v>
      </c>
      <c r="C145" s="53">
        <v>45992.0</v>
      </c>
      <c r="D145" s="52">
        <v>100.0</v>
      </c>
      <c r="E145" s="55">
        <v>6.0</v>
      </c>
      <c r="F145" s="56">
        <v>479.0</v>
      </c>
      <c r="G145" s="57">
        <v>3.0</v>
      </c>
      <c r="H145" s="58">
        <v>300.0</v>
      </c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49">
        <f t="shared" si="1"/>
        <v>145</v>
      </c>
      <c r="B146" s="49" t="s">
        <v>45</v>
      </c>
      <c r="C146" s="53">
        <v>45992.0</v>
      </c>
      <c r="D146" s="52">
        <v>115.0</v>
      </c>
      <c r="E146" s="17">
        <v>0.0</v>
      </c>
      <c r="F146" s="18">
        <v>0.0</v>
      </c>
      <c r="G146" s="57">
        <v>7.0</v>
      </c>
      <c r="H146" s="58">
        <v>805.0</v>
      </c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49">
        <f t="shared" si="1"/>
        <v>146</v>
      </c>
      <c r="B147" s="49" t="s">
        <v>48</v>
      </c>
      <c r="C147" s="53">
        <v>45992.0</v>
      </c>
      <c r="D147" s="52">
        <v>4.3</v>
      </c>
      <c r="E147" s="55">
        <v>100.0</v>
      </c>
      <c r="F147" s="56">
        <v>344.0</v>
      </c>
      <c r="G147" s="57">
        <v>30.0</v>
      </c>
      <c r="H147" s="58">
        <v>129.0</v>
      </c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49">
        <f t="shared" si="1"/>
        <v>147</v>
      </c>
      <c r="B148" s="49" t="s">
        <v>43</v>
      </c>
      <c r="C148" s="53">
        <v>45992.0</v>
      </c>
      <c r="D148" s="52">
        <v>75.0</v>
      </c>
      <c r="E148" s="55">
        <v>33.0</v>
      </c>
      <c r="F148" s="56">
        <v>1973.0</v>
      </c>
      <c r="G148" s="57">
        <v>6.0</v>
      </c>
      <c r="H148" s="58">
        <v>450.0</v>
      </c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49">
        <f t="shared" si="1"/>
        <v>148</v>
      </c>
      <c r="B149" s="49" t="s">
        <v>42</v>
      </c>
      <c r="C149" s="53">
        <v>45992.0</v>
      </c>
      <c r="D149" s="52">
        <v>22.0</v>
      </c>
      <c r="E149" s="55">
        <v>10.0</v>
      </c>
      <c r="F149" s="56">
        <v>176.0</v>
      </c>
      <c r="G149" s="57">
        <v>6.0</v>
      </c>
      <c r="H149" s="58">
        <v>132.0</v>
      </c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49">
        <f t="shared" si="1"/>
        <v>149</v>
      </c>
      <c r="B150" s="49" t="s">
        <v>37</v>
      </c>
      <c r="C150" s="53">
        <v>45992.0</v>
      </c>
      <c r="D150" s="52">
        <v>35.0</v>
      </c>
      <c r="E150" s="55">
        <v>22.0</v>
      </c>
      <c r="F150" s="56">
        <v>615.0</v>
      </c>
      <c r="G150" s="57">
        <v>10.0</v>
      </c>
      <c r="H150" s="58">
        <v>350.0</v>
      </c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49">
        <f t="shared" si="1"/>
        <v>150</v>
      </c>
      <c r="B151" s="49" t="s">
        <v>25</v>
      </c>
      <c r="C151" s="53">
        <v>45992.0</v>
      </c>
      <c r="D151" s="52">
        <v>17.0</v>
      </c>
      <c r="E151" s="17">
        <v>0.0</v>
      </c>
      <c r="F151" s="18">
        <v>0.0</v>
      </c>
      <c r="G151" s="57">
        <v>14.0</v>
      </c>
      <c r="H151" s="58">
        <v>238.0</v>
      </c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49">
        <f t="shared" si="1"/>
        <v>151</v>
      </c>
      <c r="B152" s="49" t="s">
        <v>15</v>
      </c>
      <c r="C152" s="53">
        <v>45992.0</v>
      </c>
      <c r="D152" s="52">
        <v>75.0</v>
      </c>
      <c r="E152" s="55">
        <v>8.0</v>
      </c>
      <c r="F152" s="56">
        <v>479.0</v>
      </c>
      <c r="G152" s="57">
        <v>5.0</v>
      </c>
      <c r="H152" s="58">
        <v>375.0</v>
      </c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49">
        <f t="shared" si="1"/>
        <v>152</v>
      </c>
      <c r="B153" s="49" t="s">
        <v>47</v>
      </c>
      <c r="C153" s="53">
        <v>45992.0</v>
      </c>
      <c r="D153" s="52">
        <v>40.0</v>
      </c>
      <c r="E153" s="55">
        <v>16.0</v>
      </c>
      <c r="F153" s="56">
        <v>510.0</v>
      </c>
      <c r="G153" s="57">
        <v>12.0</v>
      </c>
      <c r="H153" s="58">
        <v>480.0</v>
      </c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49">
        <f t="shared" si="1"/>
        <v>153</v>
      </c>
      <c r="B154" s="49" t="s">
        <v>13</v>
      </c>
      <c r="C154" s="53">
        <v>45992.0</v>
      </c>
      <c r="D154" s="52">
        <v>45.0</v>
      </c>
      <c r="E154" s="55">
        <v>8.0</v>
      </c>
      <c r="F154" s="56">
        <v>287.0</v>
      </c>
      <c r="G154" s="57">
        <v>6.0</v>
      </c>
      <c r="H154" s="58">
        <v>270.0</v>
      </c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49">
        <f t="shared" si="1"/>
        <v>154</v>
      </c>
      <c r="B155" s="49" t="s">
        <v>41</v>
      </c>
      <c r="C155" s="53">
        <v>45992.0</v>
      </c>
      <c r="D155" s="52">
        <v>93.76</v>
      </c>
      <c r="E155" s="55">
        <v>14.0</v>
      </c>
      <c r="F155" s="56">
        <v>1047.0</v>
      </c>
      <c r="G155" s="57">
        <v>6.0</v>
      </c>
      <c r="H155" s="58">
        <v>564.0</v>
      </c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49">
        <f t="shared" si="1"/>
        <v>155</v>
      </c>
      <c r="B156" s="49" t="s">
        <v>44</v>
      </c>
      <c r="C156" s="53">
        <v>45992.0</v>
      </c>
      <c r="D156" s="52">
        <v>105.5</v>
      </c>
      <c r="E156" s="55">
        <v>26.0</v>
      </c>
      <c r="F156" s="56">
        <v>2186.0</v>
      </c>
      <c r="G156" s="57">
        <v>5.0</v>
      </c>
      <c r="H156" s="58">
        <v>528.0</v>
      </c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49">
        <f t="shared" si="1"/>
        <v>156</v>
      </c>
      <c r="B157" s="49" t="s">
        <v>40</v>
      </c>
      <c r="C157" s="53">
        <v>45992.0</v>
      </c>
      <c r="D157" s="52">
        <v>40.0</v>
      </c>
      <c r="E157" s="55">
        <v>11.0</v>
      </c>
      <c r="F157" s="56">
        <v>351.0</v>
      </c>
      <c r="G157" s="57">
        <v>12.0</v>
      </c>
      <c r="H157" s="58">
        <v>480.0</v>
      </c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49">
        <f t="shared" si="1"/>
        <v>157</v>
      </c>
      <c r="B158" s="49" t="s">
        <v>36</v>
      </c>
      <c r="C158" s="53">
        <v>45992.0</v>
      </c>
      <c r="D158" s="52">
        <v>22.0</v>
      </c>
      <c r="E158" s="17">
        <v>0.0</v>
      </c>
      <c r="F158" s="18">
        <v>0.0</v>
      </c>
      <c r="G158" s="57">
        <v>9.0</v>
      </c>
      <c r="H158" s="58">
        <v>198.0</v>
      </c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49">
        <f t="shared" si="1"/>
        <v>158</v>
      </c>
      <c r="B159" s="49" t="s">
        <v>29</v>
      </c>
      <c r="C159" s="53">
        <v>45992.0</v>
      </c>
      <c r="D159" s="52">
        <v>14.87</v>
      </c>
      <c r="E159" s="17">
        <v>0.0</v>
      </c>
      <c r="F159" s="18">
        <v>0.0</v>
      </c>
      <c r="G159" s="57">
        <v>20.0</v>
      </c>
      <c r="H159" s="58">
        <v>298.0</v>
      </c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49">
        <f t="shared" si="1"/>
        <v>159</v>
      </c>
      <c r="B160" s="49" t="s">
        <v>7</v>
      </c>
      <c r="C160" s="53">
        <v>45992.0</v>
      </c>
      <c r="D160" s="54" t="s">
        <v>84</v>
      </c>
      <c r="E160" s="55">
        <v>51.0</v>
      </c>
      <c r="F160" s="56">
        <v>7097.0</v>
      </c>
      <c r="G160" s="57">
        <v>18.0</v>
      </c>
      <c r="H160" s="58">
        <v>3143.0</v>
      </c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49">
        <f t="shared" si="1"/>
        <v>160</v>
      </c>
      <c r="B161" s="49" t="s">
        <v>9</v>
      </c>
      <c r="C161" s="53">
        <v>45992.0</v>
      </c>
      <c r="D161" s="54" t="s">
        <v>82</v>
      </c>
      <c r="E161" s="17">
        <v>0.0</v>
      </c>
      <c r="F161" s="18">
        <v>0.0</v>
      </c>
      <c r="G161" s="57">
        <v>19.0</v>
      </c>
      <c r="H161" s="58">
        <v>2524.0</v>
      </c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49">
        <f t="shared" si="1"/>
        <v>161</v>
      </c>
      <c r="B162" s="49" t="s">
        <v>11</v>
      </c>
      <c r="C162" s="53">
        <v>45992.0</v>
      </c>
      <c r="D162" s="54" t="s">
        <v>76</v>
      </c>
      <c r="E162" s="55">
        <v>191.0</v>
      </c>
      <c r="F162" s="56">
        <v>11689.0</v>
      </c>
      <c r="G162" s="57">
        <v>10.0</v>
      </c>
      <c r="H162" s="58">
        <v>768.0</v>
      </c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60"/>
      <c r="G165" s="27"/>
      <c r="H165" s="60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60"/>
      <c r="G166" s="60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</sheetData>
  <autoFilter ref="$B$1:$H$16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3" width="37.63"/>
    <col customWidth="1" min="4" max="9" width="15.13"/>
  </cols>
  <sheetData>
    <row r="1">
      <c r="A1" s="44" t="s">
        <v>59</v>
      </c>
      <c r="B1" s="61" t="s">
        <v>85</v>
      </c>
      <c r="C1" s="45" t="s">
        <v>1</v>
      </c>
      <c r="D1" s="45" t="s">
        <v>86</v>
      </c>
      <c r="E1" s="46" t="s">
        <v>87</v>
      </c>
      <c r="F1" s="47" t="s">
        <v>88</v>
      </c>
      <c r="G1" s="47" t="s">
        <v>89</v>
      </c>
      <c r="H1" s="48" t="s">
        <v>90</v>
      </c>
      <c r="I1" s="48" t="s">
        <v>91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>
      <c r="A2" s="49">
        <f t="shared" ref="A2:A162" si="1">row()-1</f>
        <v>1</v>
      </c>
      <c r="B2" s="49"/>
      <c r="C2" s="49" t="s">
        <v>9</v>
      </c>
      <c r="D2" s="50">
        <v>45352.0</v>
      </c>
      <c r="E2" s="51" t="s">
        <v>65</v>
      </c>
      <c r="F2" s="17">
        <v>0.0</v>
      </c>
      <c r="G2" s="18">
        <v>0.0</v>
      </c>
      <c r="H2" s="19">
        <v>2.0</v>
      </c>
      <c r="I2" s="20">
        <v>174.0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>
      <c r="A3" s="49">
        <f t="shared" si="1"/>
        <v>2</v>
      </c>
      <c r="B3" s="49"/>
      <c r="C3" s="49" t="s">
        <v>11</v>
      </c>
      <c r="D3" s="50">
        <v>45352.0</v>
      </c>
      <c r="E3" s="51" t="s">
        <v>66</v>
      </c>
      <c r="F3" s="17">
        <v>191.0</v>
      </c>
      <c r="G3" s="18">
        <v>7580.0</v>
      </c>
      <c r="H3" s="19">
        <v>5.0</v>
      </c>
      <c r="I3" s="20">
        <v>249.0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49">
        <f t="shared" si="1"/>
        <v>3</v>
      </c>
      <c r="B4" s="49"/>
      <c r="C4" s="49" t="s">
        <v>29</v>
      </c>
      <c r="D4" s="50">
        <v>45352.0</v>
      </c>
      <c r="E4" s="52">
        <v>7.2</v>
      </c>
      <c r="F4" s="17">
        <v>20.0</v>
      </c>
      <c r="G4" s="18">
        <v>115.0</v>
      </c>
      <c r="H4" s="19">
        <v>0.0</v>
      </c>
      <c r="I4" s="20">
        <v>0.0</v>
      </c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49">
        <f t="shared" si="1"/>
        <v>4</v>
      </c>
      <c r="B5" s="49"/>
      <c r="C5" s="49" t="s">
        <v>7</v>
      </c>
      <c r="D5" s="50">
        <v>45352.0</v>
      </c>
      <c r="E5" s="51" t="s">
        <v>67</v>
      </c>
      <c r="F5" s="17">
        <v>51.0</v>
      </c>
      <c r="G5" s="18">
        <v>4605.0</v>
      </c>
      <c r="H5" s="19">
        <v>3.0</v>
      </c>
      <c r="I5" s="20">
        <v>113.3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49">
        <f t="shared" si="1"/>
        <v>5</v>
      </c>
      <c r="B6" s="49"/>
      <c r="C6" s="49" t="s">
        <v>17</v>
      </c>
      <c r="D6" s="50">
        <v>45352.0</v>
      </c>
      <c r="E6" s="52">
        <v>90.0</v>
      </c>
      <c r="F6" s="17">
        <v>16.0</v>
      </c>
      <c r="G6" s="18">
        <v>1148.0</v>
      </c>
      <c r="H6" s="19">
        <v>0.0</v>
      </c>
      <c r="I6" s="20">
        <v>0.0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49">
        <f t="shared" si="1"/>
        <v>6</v>
      </c>
      <c r="B7" s="49"/>
      <c r="C7" s="49" t="s">
        <v>30</v>
      </c>
      <c r="D7" s="50">
        <v>45352.0</v>
      </c>
      <c r="E7" s="52">
        <v>70.0</v>
      </c>
      <c r="F7" s="17">
        <v>2.0</v>
      </c>
      <c r="G7" s="18">
        <v>112.0</v>
      </c>
      <c r="H7" s="19">
        <v>0.0</v>
      </c>
      <c r="I7" s="20">
        <v>0.0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49">
        <f t="shared" si="1"/>
        <v>7</v>
      </c>
      <c r="B8" s="49"/>
      <c r="C8" s="49" t="s">
        <v>18</v>
      </c>
      <c r="D8" s="50">
        <v>45352.0</v>
      </c>
      <c r="E8" s="52">
        <v>36.5</v>
      </c>
      <c r="F8" s="17">
        <v>9.0</v>
      </c>
      <c r="G8" s="18">
        <v>262.0</v>
      </c>
      <c r="H8" s="19">
        <v>0.0</v>
      </c>
      <c r="I8" s="20">
        <v>0.0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49">
        <f t="shared" si="1"/>
        <v>8</v>
      </c>
      <c r="B9" s="49"/>
      <c r="C9" s="49" t="s">
        <v>14</v>
      </c>
      <c r="D9" s="50">
        <v>45352.0</v>
      </c>
      <c r="E9" s="52">
        <v>65.0</v>
      </c>
      <c r="F9" s="17">
        <v>16.0</v>
      </c>
      <c r="G9" s="18">
        <v>829.0</v>
      </c>
      <c r="H9" s="19">
        <v>0.0</v>
      </c>
      <c r="I9" s="20">
        <v>0.0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49">
        <f t="shared" si="1"/>
        <v>9</v>
      </c>
      <c r="B10" s="49"/>
      <c r="C10" s="49" t="s">
        <v>16</v>
      </c>
      <c r="D10" s="53">
        <v>45383.0</v>
      </c>
      <c r="E10" s="54">
        <v>64.0</v>
      </c>
      <c r="F10" s="17">
        <v>15.0</v>
      </c>
      <c r="G10" s="18">
        <v>765.0</v>
      </c>
      <c r="H10" s="19">
        <v>0.0</v>
      </c>
      <c r="I10" s="20">
        <v>0.0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49">
        <f t="shared" si="1"/>
        <v>10</v>
      </c>
      <c r="B11" s="49"/>
      <c r="C11" s="49" t="s">
        <v>39</v>
      </c>
      <c r="D11" s="53">
        <v>45444.0</v>
      </c>
      <c r="E11" s="54">
        <v>5.5</v>
      </c>
      <c r="F11" s="17">
        <v>0.0</v>
      </c>
      <c r="G11" s="18">
        <v>0.0</v>
      </c>
      <c r="H11" s="19">
        <v>50.0</v>
      </c>
      <c r="I11" s="20">
        <v>275.0</v>
      </c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49">
        <f t="shared" si="1"/>
        <v>11</v>
      </c>
      <c r="B12" s="49"/>
      <c r="C12" s="49" t="s">
        <v>32</v>
      </c>
      <c r="D12" s="53">
        <v>45444.0</v>
      </c>
      <c r="E12" s="54">
        <v>43.5</v>
      </c>
      <c r="F12" s="17">
        <v>9.0</v>
      </c>
      <c r="G12" s="18">
        <v>313.0</v>
      </c>
      <c r="H12" s="19">
        <v>3.0</v>
      </c>
      <c r="I12" s="20">
        <v>131.0</v>
      </c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49">
        <f t="shared" si="1"/>
        <v>12</v>
      </c>
      <c r="B13" s="49"/>
      <c r="C13" s="49" t="s">
        <v>41</v>
      </c>
      <c r="D13" s="53">
        <v>45444.0</v>
      </c>
      <c r="E13" s="54">
        <v>55.8</v>
      </c>
      <c r="F13" s="17">
        <v>14.0</v>
      </c>
      <c r="G13" s="18">
        <v>624.0</v>
      </c>
      <c r="H13" s="19">
        <v>0.0</v>
      </c>
      <c r="I13" s="20">
        <v>0.0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49">
        <f t="shared" si="1"/>
        <v>13</v>
      </c>
      <c r="B14" s="49"/>
      <c r="C14" s="49" t="s">
        <v>48</v>
      </c>
      <c r="D14" s="53">
        <v>45444.0</v>
      </c>
      <c r="E14" s="54">
        <v>43.0</v>
      </c>
      <c r="F14" s="17">
        <v>10.0</v>
      </c>
      <c r="G14" s="18">
        <v>344.0</v>
      </c>
      <c r="H14" s="19">
        <v>0.0</v>
      </c>
      <c r="I14" s="20">
        <v>0.0</v>
      </c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49">
        <f t="shared" si="1"/>
        <v>14</v>
      </c>
      <c r="B15" s="49"/>
      <c r="C15" s="49" t="s">
        <v>42</v>
      </c>
      <c r="D15" s="53">
        <v>45444.0</v>
      </c>
      <c r="E15" s="52">
        <v>10.0</v>
      </c>
      <c r="F15" s="55">
        <v>19.0</v>
      </c>
      <c r="G15" s="56">
        <v>152.0</v>
      </c>
      <c r="H15" s="19">
        <v>0.0</v>
      </c>
      <c r="I15" s="20">
        <v>0.0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49">
        <f t="shared" si="1"/>
        <v>15</v>
      </c>
      <c r="B16" s="49"/>
      <c r="C16" s="49" t="s">
        <v>40</v>
      </c>
      <c r="D16" s="53">
        <v>45444.0</v>
      </c>
      <c r="E16" s="52">
        <v>130.0</v>
      </c>
      <c r="F16" s="55">
        <v>11.0</v>
      </c>
      <c r="G16" s="56">
        <v>1140.0</v>
      </c>
      <c r="H16" s="57">
        <v>2.0</v>
      </c>
      <c r="I16" s="58">
        <v>260.0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49">
        <f t="shared" si="1"/>
        <v>16</v>
      </c>
      <c r="B17" s="49"/>
      <c r="C17" s="49" t="s">
        <v>7</v>
      </c>
      <c r="D17" s="53">
        <v>45444.0</v>
      </c>
      <c r="E17" s="54" t="s">
        <v>68</v>
      </c>
      <c r="F17" s="55">
        <v>51.0</v>
      </c>
      <c r="G17" s="56">
        <v>5316.0</v>
      </c>
      <c r="H17" s="57">
        <v>6.0</v>
      </c>
      <c r="I17" s="58">
        <v>785.0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49">
        <f t="shared" si="1"/>
        <v>17</v>
      </c>
      <c r="B18" s="49"/>
      <c r="C18" s="49" t="s">
        <v>19</v>
      </c>
      <c r="D18" s="53">
        <v>45444.0</v>
      </c>
      <c r="E18" s="52">
        <v>70.0</v>
      </c>
      <c r="F18" s="55">
        <v>17.0</v>
      </c>
      <c r="G18" s="56">
        <v>949.0</v>
      </c>
      <c r="H18" s="19">
        <v>0.0</v>
      </c>
      <c r="I18" s="20">
        <v>0.0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49">
        <f t="shared" si="1"/>
        <v>18</v>
      </c>
      <c r="B19" s="49"/>
      <c r="C19" s="49" t="s">
        <v>47</v>
      </c>
      <c r="D19" s="53">
        <v>45444.0</v>
      </c>
      <c r="E19" s="52">
        <v>70.0</v>
      </c>
      <c r="F19" s="55">
        <v>8.0</v>
      </c>
      <c r="G19" s="56">
        <v>447.0</v>
      </c>
      <c r="H19" s="57">
        <v>2.0</v>
      </c>
      <c r="I19" s="58">
        <v>140.0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49">
        <f t="shared" si="1"/>
        <v>19</v>
      </c>
      <c r="B20" s="49"/>
      <c r="C20" s="49" t="s">
        <v>33</v>
      </c>
      <c r="D20" s="53">
        <v>45444.0</v>
      </c>
      <c r="E20" s="52">
        <v>85.0</v>
      </c>
      <c r="F20" s="55">
        <v>12.0</v>
      </c>
      <c r="G20" s="56">
        <v>813.0</v>
      </c>
      <c r="H20" s="57">
        <v>1.0</v>
      </c>
      <c r="I20" s="58">
        <v>85.0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49">
        <f t="shared" si="1"/>
        <v>20</v>
      </c>
      <c r="B21" s="49"/>
      <c r="C21" s="49" t="s">
        <v>29</v>
      </c>
      <c r="D21" s="53">
        <v>45444.0</v>
      </c>
      <c r="E21" s="52">
        <v>11.87</v>
      </c>
      <c r="F21" s="17">
        <v>0.0</v>
      </c>
      <c r="G21" s="18">
        <v>0.0</v>
      </c>
      <c r="H21" s="57">
        <v>20.0</v>
      </c>
      <c r="I21" s="58">
        <v>238.0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49">
        <f t="shared" si="1"/>
        <v>21</v>
      </c>
      <c r="B22" s="49"/>
      <c r="C22" s="49" t="s">
        <v>46</v>
      </c>
      <c r="D22" s="53">
        <v>45444.0</v>
      </c>
      <c r="E22" s="52">
        <v>2.6</v>
      </c>
      <c r="F22" s="55">
        <v>125.0</v>
      </c>
      <c r="G22" s="56">
        <v>260.0</v>
      </c>
      <c r="H22" s="19">
        <v>0.0</v>
      </c>
      <c r="I22" s="20">
        <v>0.0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49">
        <f t="shared" si="1"/>
        <v>22</v>
      </c>
      <c r="B23" s="49"/>
      <c r="C23" s="49" t="s">
        <v>35</v>
      </c>
      <c r="D23" s="53">
        <v>45444.0</v>
      </c>
      <c r="E23" s="52">
        <v>35.0</v>
      </c>
      <c r="F23" s="55">
        <v>15.0</v>
      </c>
      <c r="G23" s="56">
        <v>419.0</v>
      </c>
      <c r="H23" s="19">
        <v>0.0</v>
      </c>
      <c r="I23" s="20">
        <v>0.0</v>
      </c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>
      <c r="A24" s="49">
        <f t="shared" si="1"/>
        <v>23</v>
      </c>
      <c r="B24" s="49"/>
      <c r="C24" s="49" t="s">
        <v>34</v>
      </c>
      <c r="D24" s="53">
        <v>45444.0</v>
      </c>
      <c r="E24" s="52">
        <v>62.5</v>
      </c>
      <c r="F24" s="55">
        <v>9.0</v>
      </c>
      <c r="G24" s="56">
        <v>448.0</v>
      </c>
      <c r="H24" s="57">
        <v>2.0</v>
      </c>
      <c r="I24" s="58">
        <v>125.0</v>
      </c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>
      <c r="A25" s="49">
        <f t="shared" si="1"/>
        <v>24</v>
      </c>
      <c r="B25" s="49"/>
      <c r="C25" s="49" t="s">
        <v>31</v>
      </c>
      <c r="D25" s="53">
        <v>45444.0</v>
      </c>
      <c r="E25" s="52">
        <v>80.0</v>
      </c>
      <c r="F25" s="55">
        <v>6.0</v>
      </c>
      <c r="G25" s="56">
        <v>383.0</v>
      </c>
      <c r="H25" s="19">
        <v>0.0</v>
      </c>
      <c r="I25" s="20">
        <v>0.0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49">
        <f t="shared" si="1"/>
        <v>25</v>
      </c>
      <c r="B26" s="49"/>
      <c r="C26" s="49" t="s">
        <v>44</v>
      </c>
      <c r="D26" s="53">
        <v>45444.0</v>
      </c>
      <c r="E26" s="52">
        <v>62.5</v>
      </c>
      <c r="F26" s="55">
        <v>26.0</v>
      </c>
      <c r="G26" s="56">
        <v>1296.0</v>
      </c>
      <c r="H26" s="57">
        <v>2.0</v>
      </c>
      <c r="I26" s="58">
        <v>125.0</v>
      </c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>
      <c r="A27" s="49">
        <f t="shared" si="1"/>
        <v>26</v>
      </c>
      <c r="B27" s="49"/>
      <c r="C27" s="49" t="s">
        <v>43</v>
      </c>
      <c r="D27" s="53">
        <v>45444.0</v>
      </c>
      <c r="E27" s="52">
        <v>150.0</v>
      </c>
      <c r="F27" s="55">
        <v>11.0</v>
      </c>
      <c r="G27" s="56">
        <v>1316.0</v>
      </c>
      <c r="H27" s="19">
        <v>0.0</v>
      </c>
      <c r="I27" s="20">
        <v>0.0</v>
      </c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>
      <c r="A28" s="49">
        <f t="shared" si="1"/>
        <v>27</v>
      </c>
      <c r="B28" s="49"/>
      <c r="C28" s="49" t="s">
        <v>9</v>
      </c>
      <c r="D28" s="53">
        <v>45444.0</v>
      </c>
      <c r="E28" s="54" t="s">
        <v>69</v>
      </c>
      <c r="F28" s="17">
        <v>0.0</v>
      </c>
      <c r="G28" s="18">
        <v>0.0</v>
      </c>
      <c r="H28" s="57">
        <v>8.0</v>
      </c>
      <c r="I28" s="58">
        <v>1170.0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49">
        <f t="shared" si="1"/>
        <v>28</v>
      </c>
      <c r="B29" s="49"/>
      <c r="C29" s="49" t="s">
        <v>11</v>
      </c>
      <c r="D29" s="53">
        <v>45444.0</v>
      </c>
      <c r="E29" s="54" t="s">
        <v>70</v>
      </c>
      <c r="F29" s="55">
        <v>191.0</v>
      </c>
      <c r="G29" s="56">
        <v>10578.0</v>
      </c>
      <c r="H29" s="57">
        <v>6.0</v>
      </c>
      <c r="I29" s="58">
        <v>417.0</v>
      </c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>
      <c r="A30" s="49">
        <f t="shared" si="1"/>
        <v>29</v>
      </c>
      <c r="B30" s="49"/>
      <c r="C30" s="49" t="s">
        <v>49</v>
      </c>
      <c r="D30" s="53">
        <v>45444.0</v>
      </c>
      <c r="E30" s="52">
        <v>55.0</v>
      </c>
      <c r="F30" s="55">
        <v>13.0</v>
      </c>
      <c r="G30" s="56">
        <v>571.0</v>
      </c>
      <c r="H30" s="57">
        <v>3.0</v>
      </c>
      <c r="I30" s="58">
        <v>165.0</v>
      </c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>
      <c r="A31" s="49">
        <f t="shared" si="1"/>
        <v>30</v>
      </c>
      <c r="B31" s="49"/>
      <c r="C31" s="49" t="s">
        <v>25</v>
      </c>
      <c r="D31" s="53">
        <v>45444.0</v>
      </c>
      <c r="E31" s="52">
        <v>11.0</v>
      </c>
      <c r="F31" s="17">
        <v>0.0</v>
      </c>
      <c r="G31" s="18">
        <v>0.0</v>
      </c>
      <c r="H31" s="57">
        <v>2.0</v>
      </c>
      <c r="I31" s="58">
        <v>22.0</v>
      </c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49">
        <f t="shared" si="1"/>
        <v>31</v>
      </c>
      <c r="B32" s="49"/>
      <c r="C32" s="49" t="s">
        <v>24</v>
      </c>
      <c r="D32" s="53">
        <v>45444.0</v>
      </c>
      <c r="E32" s="52">
        <v>94.0</v>
      </c>
      <c r="F32" s="55">
        <v>26.0</v>
      </c>
      <c r="G32" s="56">
        <v>1948.0</v>
      </c>
      <c r="H32" s="19">
        <v>0.0</v>
      </c>
      <c r="I32" s="20">
        <v>0.0</v>
      </c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>
      <c r="A33" s="49">
        <f t="shared" si="1"/>
        <v>32</v>
      </c>
      <c r="B33" s="49"/>
      <c r="C33" s="49" t="s">
        <v>38</v>
      </c>
      <c r="D33" s="53">
        <v>45444.0</v>
      </c>
      <c r="E33" s="52">
        <v>135.0</v>
      </c>
      <c r="F33" s="55">
        <v>10.0</v>
      </c>
      <c r="G33" s="56">
        <v>1077.0</v>
      </c>
      <c r="H33" s="19">
        <v>0.0</v>
      </c>
      <c r="I33" s="20">
        <v>0.0</v>
      </c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>
      <c r="A34" s="49">
        <f t="shared" si="1"/>
        <v>33</v>
      </c>
      <c r="B34" s="49"/>
      <c r="C34" s="49" t="s">
        <v>37</v>
      </c>
      <c r="D34" s="53">
        <v>45444.0</v>
      </c>
      <c r="E34" s="52">
        <v>20.5</v>
      </c>
      <c r="F34" s="55">
        <v>22.0</v>
      </c>
      <c r="G34" s="56">
        <v>360.0</v>
      </c>
      <c r="H34" s="19">
        <v>0.0</v>
      </c>
      <c r="I34" s="20">
        <v>0.0</v>
      </c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49">
        <f t="shared" si="1"/>
        <v>34</v>
      </c>
      <c r="B35" s="49"/>
      <c r="C35" s="49" t="s">
        <v>15</v>
      </c>
      <c r="D35" s="53">
        <v>45444.0</v>
      </c>
      <c r="E35" s="52">
        <v>80.0</v>
      </c>
      <c r="F35" s="55">
        <v>8.0</v>
      </c>
      <c r="G35" s="56">
        <v>510.0</v>
      </c>
      <c r="H35" s="57">
        <v>1.0</v>
      </c>
      <c r="I35" s="58">
        <v>80.0</v>
      </c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>
      <c r="A36" s="49">
        <f t="shared" si="1"/>
        <v>35</v>
      </c>
      <c r="B36" s="49"/>
      <c r="C36" s="49" t="s">
        <v>13</v>
      </c>
      <c r="D36" s="53">
        <v>45444.0</v>
      </c>
      <c r="E36" s="52">
        <v>45.0</v>
      </c>
      <c r="F36" s="55">
        <v>8.0</v>
      </c>
      <c r="G36" s="56">
        <v>287.0</v>
      </c>
      <c r="H36" s="19">
        <v>0.0</v>
      </c>
      <c r="I36" s="20">
        <v>0.0</v>
      </c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>
      <c r="A37" s="49">
        <f t="shared" si="1"/>
        <v>36</v>
      </c>
      <c r="B37" s="49"/>
      <c r="C37" s="49" t="s">
        <v>30</v>
      </c>
      <c r="D37" s="53">
        <v>45505.0</v>
      </c>
      <c r="E37" s="52">
        <v>75.0</v>
      </c>
      <c r="F37" s="55">
        <v>2.0</v>
      </c>
      <c r="G37" s="56">
        <v>121.0</v>
      </c>
      <c r="H37" s="57">
        <v>3.0</v>
      </c>
      <c r="I37" s="58">
        <v>225.0</v>
      </c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49">
        <f t="shared" si="1"/>
        <v>37</v>
      </c>
      <c r="B38" s="49"/>
      <c r="C38" s="49" t="s">
        <v>23</v>
      </c>
      <c r="D38" s="53">
        <v>45536.0</v>
      </c>
      <c r="E38" s="52">
        <v>76.0</v>
      </c>
      <c r="F38" s="17">
        <v>0.0</v>
      </c>
      <c r="G38" s="18">
        <v>0.0</v>
      </c>
      <c r="H38" s="57">
        <v>2.0</v>
      </c>
      <c r="I38" s="58">
        <v>152.0</v>
      </c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49">
        <f t="shared" si="1"/>
        <v>38</v>
      </c>
      <c r="B39" s="49"/>
      <c r="C39" s="49" t="s">
        <v>12</v>
      </c>
      <c r="D39" s="53">
        <v>45536.0</v>
      </c>
      <c r="E39" s="52">
        <v>43.0</v>
      </c>
      <c r="F39" s="17">
        <v>0.0</v>
      </c>
      <c r="G39" s="18">
        <v>0.0</v>
      </c>
      <c r="H39" s="57">
        <v>4.0</v>
      </c>
      <c r="I39" s="58">
        <v>172.0</v>
      </c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49">
        <f t="shared" si="1"/>
        <v>39</v>
      </c>
      <c r="B40" s="49"/>
      <c r="C40" s="49" t="s">
        <v>21</v>
      </c>
      <c r="D40" s="53">
        <v>45536.0</v>
      </c>
      <c r="E40" s="52">
        <v>26.0</v>
      </c>
      <c r="F40" s="17">
        <v>0.0</v>
      </c>
      <c r="G40" s="18">
        <v>0.0</v>
      </c>
      <c r="H40" s="57">
        <v>4.0</v>
      </c>
      <c r="I40" s="58">
        <v>104.0</v>
      </c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>
      <c r="A41" s="49">
        <f t="shared" si="1"/>
        <v>40</v>
      </c>
      <c r="B41" s="49"/>
      <c r="C41" s="49" t="s">
        <v>20</v>
      </c>
      <c r="D41" s="53">
        <v>45536.0</v>
      </c>
      <c r="E41" s="52">
        <v>97.0</v>
      </c>
      <c r="F41" s="17">
        <v>0.0</v>
      </c>
      <c r="G41" s="18">
        <v>0.0</v>
      </c>
      <c r="H41" s="57">
        <v>3.0</v>
      </c>
      <c r="I41" s="58">
        <v>291.0</v>
      </c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49">
        <f t="shared" si="1"/>
        <v>41</v>
      </c>
      <c r="B42" s="49"/>
      <c r="C42" s="49" t="s">
        <v>18</v>
      </c>
      <c r="D42" s="53">
        <v>45536.0</v>
      </c>
      <c r="E42" s="52">
        <v>35.5</v>
      </c>
      <c r="F42" s="55">
        <v>9.0</v>
      </c>
      <c r="G42" s="56">
        <v>256.0</v>
      </c>
      <c r="H42" s="57">
        <v>2.0</v>
      </c>
      <c r="I42" s="58">
        <v>72.0</v>
      </c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49">
        <f t="shared" si="1"/>
        <v>42</v>
      </c>
      <c r="B43" s="49"/>
      <c r="C43" s="49" t="s">
        <v>14</v>
      </c>
      <c r="D43" s="53">
        <v>45536.0</v>
      </c>
      <c r="E43" s="52">
        <v>65.0</v>
      </c>
      <c r="F43" s="55">
        <v>16.0</v>
      </c>
      <c r="G43" s="56">
        <v>829.0</v>
      </c>
      <c r="H43" s="57">
        <v>5.0</v>
      </c>
      <c r="I43" s="58">
        <v>325.0</v>
      </c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49">
        <f t="shared" si="1"/>
        <v>43</v>
      </c>
      <c r="B44" s="49"/>
      <c r="C44" s="49" t="s">
        <v>36</v>
      </c>
      <c r="D44" s="53">
        <v>45536.0</v>
      </c>
      <c r="E44" s="52">
        <v>19.0</v>
      </c>
      <c r="F44" s="17">
        <v>0.0</v>
      </c>
      <c r="G44" s="18">
        <v>0.0</v>
      </c>
      <c r="H44" s="57">
        <v>6.0</v>
      </c>
      <c r="I44" s="58">
        <v>114.0</v>
      </c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49">
        <f t="shared" si="1"/>
        <v>44</v>
      </c>
      <c r="B45" s="49"/>
      <c r="C45" s="49" t="s">
        <v>29</v>
      </c>
      <c r="D45" s="53">
        <v>45536.0</v>
      </c>
      <c r="E45" s="52">
        <v>2.0</v>
      </c>
      <c r="F45" s="17">
        <v>0.0</v>
      </c>
      <c r="G45" s="18">
        <v>0.0</v>
      </c>
      <c r="H45" s="57">
        <v>20.0</v>
      </c>
      <c r="I45" s="58">
        <v>40.0</v>
      </c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49">
        <f t="shared" si="1"/>
        <v>45</v>
      </c>
      <c r="B46" s="49"/>
      <c r="C46" s="49" t="s">
        <v>9</v>
      </c>
      <c r="D46" s="53">
        <v>45536.0</v>
      </c>
      <c r="E46" s="54" t="s">
        <v>71</v>
      </c>
      <c r="F46" s="17">
        <v>0.0</v>
      </c>
      <c r="G46" s="18">
        <v>0.0</v>
      </c>
      <c r="H46" s="57">
        <v>8.0</v>
      </c>
      <c r="I46" s="58">
        <v>874.0</v>
      </c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49">
        <f t="shared" si="1"/>
        <v>46</v>
      </c>
      <c r="B47" s="49"/>
      <c r="C47" s="49" t="s">
        <v>11</v>
      </c>
      <c r="D47" s="53">
        <v>45536.0</v>
      </c>
      <c r="E47" s="54" t="s">
        <v>72</v>
      </c>
      <c r="F47" s="55">
        <v>191.0</v>
      </c>
      <c r="G47" s="56">
        <v>8928.0</v>
      </c>
      <c r="H47" s="57">
        <v>6.0</v>
      </c>
      <c r="I47" s="58">
        <v>352.0</v>
      </c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49">
        <f t="shared" si="1"/>
        <v>47</v>
      </c>
      <c r="B48" s="49"/>
      <c r="C48" s="49" t="s">
        <v>16</v>
      </c>
      <c r="D48" s="53">
        <v>45536.0</v>
      </c>
      <c r="E48" s="52">
        <v>64.0</v>
      </c>
      <c r="F48" s="55">
        <v>15.0</v>
      </c>
      <c r="G48" s="56">
        <v>765.0</v>
      </c>
      <c r="H48" s="57">
        <v>2.0</v>
      </c>
      <c r="I48" s="58">
        <v>128.0</v>
      </c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>
      <c r="A49" s="49">
        <f t="shared" si="1"/>
        <v>48</v>
      </c>
      <c r="B49" s="49"/>
      <c r="C49" s="49" t="s">
        <v>7</v>
      </c>
      <c r="D49" s="59">
        <v>45566.0</v>
      </c>
      <c r="E49" s="51" t="s">
        <v>73</v>
      </c>
      <c r="F49" s="55">
        <v>51.0</v>
      </c>
      <c r="G49" s="56">
        <v>6381.0</v>
      </c>
      <c r="H49" s="57">
        <v>6.0</v>
      </c>
      <c r="I49" s="58">
        <v>942.0</v>
      </c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49">
        <f t="shared" si="1"/>
        <v>49</v>
      </c>
      <c r="B50" s="49"/>
      <c r="C50" s="49" t="s">
        <v>49</v>
      </c>
      <c r="D50" s="59">
        <v>45597.0</v>
      </c>
      <c r="E50" s="52">
        <v>50.0</v>
      </c>
      <c r="F50" s="55">
        <v>13.0</v>
      </c>
      <c r="G50" s="56">
        <v>519.0</v>
      </c>
      <c r="H50" s="57">
        <v>8.0</v>
      </c>
      <c r="I50" s="58">
        <v>400.0</v>
      </c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49">
        <f t="shared" si="1"/>
        <v>50</v>
      </c>
      <c r="B51" s="49"/>
      <c r="C51" s="49" t="s">
        <v>46</v>
      </c>
      <c r="D51" s="59">
        <v>45597.0</v>
      </c>
      <c r="E51" s="52">
        <v>2.6</v>
      </c>
      <c r="F51" s="55">
        <v>125.0</v>
      </c>
      <c r="G51" s="56">
        <v>260.0</v>
      </c>
      <c r="H51" s="19">
        <v>0.0</v>
      </c>
      <c r="I51" s="20">
        <v>0.0</v>
      </c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49">
        <f t="shared" si="1"/>
        <v>51</v>
      </c>
      <c r="B52" s="49"/>
      <c r="C52" s="49" t="s">
        <v>25</v>
      </c>
      <c r="D52" s="59">
        <v>45597.0</v>
      </c>
      <c r="E52" s="52">
        <v>13.0</v>
      </c>
      <c r="F52" s="17">
        <v>0.0</v>
      </c>
      <c r="G52" s="18">
        <v>0.0</v>
      </c>
      <c r="H52" s="57">
        <v>4.0</v>
      </c>
      <c r="I52" s="58">
        <v>52.0</v>
      </c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>
      <c r="A53" s="49">
        <f t="shared" si="1"/>
        <v>52</v>
      </c>
      <c r="B53" s="49"/>
      <c r="C53" s="49" t="s">
        <v>39</v>
      </c>
      <c r="D53" s="59">
        <v>45627.0</v>
      </c>
      <c r="E53" s="54">
        <v>5.5</v>
      </c>
      <c r="F53" s="17">
        <v>0.0</v>
      </c>
      <c r="G53" s="18">
        <v>0.0</v>
      </c>
      <c r="H53" s="19">
        <v>50.0</v>
      </c>
      <c r="I53" s="20">
        <v>275.0</v>
      </c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>
      <c r="A54" s="49">
        <f t="shared" si="1"/>
        <v>53</v>
      </c>
      <c r="B54" s="49"/>
      <c r="C54" s="49" t="s">
        <v>35</v>
      </c>
      <c r="D54" s="59">
        <v>45627.0</v>
      </c>
      <c r="E54" s="52">
        <v>50.0</v>
      </c>
      <c r="F54" s="55">
        <v>15.0</v>
      </c>
      <c r="G54" s="56">
        <v>599.0</v>
      </c>
      <c r="H54" s="19">
        <v>0.0</v>
      </c>
      <c r="I54" s="20">
        <v>0.0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A55" s="49">
        <f t="shared" si="1"/>
        <v>54</v>
      </c>
      <c r="B55" s="49"/>
      <c r="C55" s="49" t="s">
        <v>34</v>
      </c>
      <c r="D55" s="59">
        <v>45627.0</v>
      </c>
      <c r="E55" s="52">
        <v>65.0</v>
      </c>
      <c r="F55" s="55">
        <v>9.0</v>
      </c>
      <c r="G55" s="56">
        <v>467.0</v>
      </c>
      <c r="H55" s="57">
        <v>3.0</v>
      </c>
      <c r="I55" s="58">
        <v>195.0</v>
      </c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49">
        <f t="shared" si="1"/>
        <v>55</v>
      </c>
      <c r="B56" s="49"/>
      <c r="C56" s="49" t="s">
        <v>32</v>
      </c>
      <c r="D56" s="59">
        <v>45627.0</v>
      </c>
      <c r="E56" s="52">
        <v>45.0</v>
      </c>
      <c r="F56" s="55">
        <v>9.0</v>
      </c>
      <c r="G56" s="56">
        <v>323.0</v>
      </c>
      <c r="H56" s="57">
        <v>5.0</v>
      </c>
      <c r="I56" s="58">
        <v>225.0</v>
      </c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49">
        <f t="shared" si="1"/>
        <v>56</v>
      </c>
      <c r="B57" s="49"/>
      <c r="C57" s="49" t="s">
        <v>31</v>
      </c>
      <c r="D57" s="59">
        <v>45627.0</v>
      </c>
      <c r="E57" s="52">
        <v>100.0</v>
      </c>
      <c r="F57" s="55">
        <v>6.0</v>
      </c>
      <c r="G57" s="56">
        <v>479.0</v>
      </c>
      <c r="H57" s="57">
        <v>1.0</v>
      </c>
      <c r="I57" s="58">
        <v>100.0</v>
      </c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A58" s="49">
        <f t="shared" si="1"/>
        <v>57</v>
      </c>
      <c r="B58" s="49"/>
      <c r="C58" s="49" t="s">
        <v>24</v>
      </c>
      <c r="D58" s="59">
        <v>45627.0</v>
      </c>
      <c r="E58" s="52">
        <v>98.0</v>
      </c>
      <c r="F58" s="55">
        <v>26.0</v>
      </c>
      <c r="G58" s="56">
        <v>2031.0</v>
      </c>
      <c r="H58" s="57">
        <v>3.0</v>
      </c>
      <c r="I58" s="58">
        <v>294.0</v>
      </c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49">
        <f t="shared" si="1"/>
        <v>58</v>
      </c>
      <c r="B59" s="49"/>
      <c r="C59" s="49" t="s">
        <v>19</v>
      </c>
      <c r="D59" s="59">
        <v>45627.0</v>
      </c>
      <c r="E59" s="52">
        <v>75.0</v>
      </c>
      <c r="F59" s="55">
        <v>17.0</v>
      </c>
      <c r="G59" s="56">
        <v>1017.0</v>
      </c>
      <c r="H59" s="57">
        <v>7.0</v>
      </c>
      <c r="I59" s="58">
        <v>525.0</v>
      </c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A60" s="49">
        <f t="shared" si="1"/>
        <v>59</v>
      </c>
      <c r="B60" s="49"/>
      <c r="C60" s="49" t="s">
        <v>47</v>
      </c>
      <c r="D60" s="59">
        <v>45627.0</v>
      </c>
      <c r="E60" s="52">
        <v>70.0</v>
      </c>
      <c r="F60" s="55">
        <v>8.0</v>
      </c>
      <c r="G60" s="56">
        <v>447.0</v>
      </c>
      <c r="H60" s="57">
        <v>5.0</v>
      </c>
      <c r="I60" s="58">
        <v>350.0</v>
      </c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A61" s="49">
        <f t="shared" si="1"/>
        <v>60</v>
      </c>
      <c r="B61" s="49"/>
      <c r="C61" s="49" t="s">
        <v>38</v>
      </c>
      <c r="D61" s="59">
        <v>45627.0</v>
      </c>
      <c r="E61" s="52">
        <v>180.0</v>
      </c>
      <c r="F61" s="55">
        <v>10.0</v>
      </c>
      <c r="G61" s="56">
        <v>1435.0</v>
      </c>
      <c r="H61" s="57">
        <v>1.0</v>
      </c>
      <c r="I61" s="58">
        <v>180.0</v>
      </c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49">
        <f t="shared" si="1"/>
        <v>61</v>
      </c>
      <c r="B62" s="49"/>
      <c r="C62" s="49" t="s">
        <v>33</v>
      </c>
      <c r="D62" s="59">
        <v>45627.0</v>
      </c>
      <c r="E62" s="52">
        <v>50.0</v>
      </c>
      <c r="F62" s="55">
        <v>24.0</v>
      </c>
      <c r="G62" s="56">
        <v>957.0</v>
      </c>
      <c r="H62" s="57">
        <v>3.0</v>
      </c>
      <c r="I62" s="58">
        <v>150.0</v>
      </c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>
      <c r="A63" s="49">
        <f t="shared" si="1"/>
        <v>62</v>
      </c>
      <c r="B63" s="49"/>
      <c r="C63" s="49" t="s">
        <v>43</v>
      </c>
      <c r="D63" s="59">
        <v>45627.0</v>
      </c>
      <c r="E63" s="52">
        <v>56.0</v>
      </c>
      <c r="F63" s="55">
        <v>33.0</v>
      </c>
      <c r="G63" s="56">
        <v>1473.0</v>
      </c>
      <c r="H63" s="57">
        <v>4.0</v>
      </c>
      <c r="I63" s="58">
        <v>224.0</v>
      </c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A64" s="49">
        <f t="shared" si="1"/>
        <v>63</v>
      </c>
      <c r="B64" s="49"/>
      <c r="C64" s="49" t="s">
        <v>37</v>
      </c>
      <c r="D64" s="59">
        <v>45627.0</v>
      </c>
      <c r="E64" s="52">
        <v>25.0</v>
      </c>
      <c r="F64" s="55">
        <v>22.0</v>
      </c>
      <c r="G64" s="56">
        <v>439.0</v>
      </c>
      <c r="H64" s="57">
        <v>6.0</v>
      </c>
      <c r="I64" s="58">
        <v>150.0</v>
      </c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>
      <c r="A65" s="49">
        <f t="shared" si="1"/>
        <v>64</v>
      </c>
      <c r="B65" s="49"/>
      <c r="C65" s="49" t="s">
        <v>15</v>
      </c>
      <c r="D65" s="59">
        <v>45627.0</v>
      </c>
      <c r="E65" s="52">
        <v>70.0</v>
      </c>
      <c r="F65" s="55">
        <v>8.0</v>
      </c>
      <c r="G65" s="56">
        <v>447.0</v>
      </c>
      <c r="H65" s="57">
        <v>5.0</v>
      </c>
      <c r="I65" s="58">
        <v>350.0</v>
      </c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>
      <c r="A66" s="49">
        <f t="shared" si="1"/>
        <v>65</v>
      </c>
      <c r="B66" s="49"/>
      <c r="C66" s="49" t="s">
        <v>48</v>
      </c>
      <c r="D66" s="59">
        <v>45627.0</v>
      </c>
      <c r="E66" s="52">
        <v>43.0</v>
      </c>
      <c r="F66" s="55">
        <v>10.0</v>
      </c>
      <c r="G66" s="56">
        <v>344.0</v>
      </c>
      <c r="H66" s="57">
        <v>3.0</v>
      </c>
      <c r="I66" s="58">
        <v>129.0</v>
      </c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>
      <c r="A67" s="49">
        <f t="shared" si="1"/>
        <v>66</v>
      </c>
      <c r="B67" s="49"/>
      <c r="C67" s="49" t="s">
        <v>13</v>
      </c>
      <c r="D67" s="59">
        <v>45627.0</v>
      </c>
      <c r="E67" s="52">
        <v>40.0</v>
      </c>
      <c r="F67" s="55">
        <v>8.0</v>
      </c>
      <c r="G67" s="56">
        <v>255.0</v>
      </c>
      <c r="H67" s="57">
        <v>4.0</v>
      </c>
      <c r="I67" s="58">
        <v>160.0</v>
      </c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A68" s="49">
        <f t="shared" si="1"/>
        <v>67</v>
      </c>
      <c r="B68" s="49"/>
      <c r="C68" s="49" t="s">
        <v>41</v>
      </c>
      <c r="D68" s="59">
        <v>45627.0</v>
      </c>
      <c r="E68" s="52">
        <v>63.0</v>
      </c>
      <c r="F68" s="55">
        <v>14.0</v>
      </c>
      <c r="G68" s="56">
        <v>694.0</v>
      </c>
      <c r="H68" s="57">
        <v>1.0</v>
      </c>
      <c r="I68" s="58">
        <v>63.0</v>
      </c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>
      <c r="A69" s="49">
        <f t="shared" si="1"/>
        <v>68</v>
      </c>
      <c r="B69" s="49"/>
      <c r="C69" s="49" t="s">
        <v>44</v>
      </c>
      <c r="D69" s="59">
        <v>45627.0</v>
      </c>
      <c r="E69" s="52">
        <v>81.0</v>
      </c>
      <c r="F69" s="55">
        <v>26.0</v>
      </c>
      <c r="G69" s="56">
        <v>1679.0</v>
      </c>
      <c r="H69" s="57">
        <v>3.0</v>
      </c>
      <c r="I69" s="58">
        <v>243.0</v>
      </c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>
      <c r="A70" s="49">
        <f t="shared" si="1"/>
        <v>69</v>
      </c>
      <c r="B70" s="49"/>
      <c r="C70" s="49" t="s">
        <v>42</v>
      </c>
      <c r="D70" s="59">
        <v>45627.0</v>
      </c>
      <c r="E70" s="52">
        <v>20.0</v>
      </c>
      <c r="F70" s="55">
        <v>10.0</v>
      </c>
      <c r="G70" s="56">
        <v>160.0</v>
      </c>
      <c r="H70" s="57">
        <v>4.0</v>
      </c>
      <c r="I70" s="58">
        <v>80.0</v>
      </c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49">
        <f t="shared" si="1"/>
        <v>70</v>
      </c>
      <c r="B71" s="49"/>
      <c r="C71" s="49" t="s">
        <v>40</v>
      </c>
      <c r="D71" s="59">
        <v>45627.0</v>
      </c>
      <c r="E71" s="52">
        <v>30.0</v>
      </c>
      <c r="F71" s="55">
        <v>11.0</v>
      </c>
      <c r="G71" s="56">
        <v>264.0</v>
      </c>
      <c r="H71" s="57">
        <v>7.0</v>
      </c>
      <c r="I71" s="58">
        <v>210.0</v>
      </c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49">
        <f t="shared" si="1"/>
        <v>71</v>
      </c>
      <c r="B72" s="49"/>
      <c r="C72" s="49" t="s">
        <v>36</v>
      </c>
      <c r="D72" s="59">
        <v>45627.0</v>
      </c>
      <c r="E72" s="52">
        <v>19.0</v>
      </c>
      <c r="F72" s="17">
        <v>0.0</v>
      </c>
      <c r="G72" s="18">
        <v>0.0</v>
      </c>
      <c r="H72" s="57">
        <v>6.0</v>
      </c>
      <c r="I72" s="58">
        <v>114.0</v>
      </c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>
      <c r="A73" s="49">
        <f t="shared" si="1"/>
        <v>72</v>
      </c>
      <c r="B73" s="49"/>
      <c r="C73" s="49" t="s">
        <v>29</v>
      </c>
      <c r="D73" s="59">
        <v>45627.0</v>
      </c>
      <c r="E73" s="52">
        <v>8.27</v>
      </c>
      <c r="F73" s="17">
        <v>0.0</v>
      </c>
      <c r="G73" s="18">
        <v>0.0</v>
      </c>
      <c r="H73" s="57">
        <v>20.0</v>
      </c>
      <c r="I73" s="58">
        <v>166.0</v>
      </c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49">
        <f t="shared" si="1"/>
        <v>73</v>
      </c>
      <c r="B74" s="49"/>
      <c r="C74" s="49" t="s">
        <v>7</v>
      </c>
      <c r="D74" s="59">
        <v>45627.0</v>
      </c>
      <c r="E74" s="51" t="s">
        <v>74</v>
      </c>
      <c r="F74" s="55">
        <v>51.0</v>
      </c>
      <c r="G74" s="56">
        <v>6442.0</v>
      </c>
      <c r="H74" s="57">
        <v>8.0</v>
      </c>
      <c r="I74" s="58">
        <v>1268.0</v>
      </c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>
      <c r="A75" s="49">
        <f t="shared" si="1"/>
        <v>74</v>
      </c>
      <c r="B75" s="49"/>
      <c r="C75" s="49" t="s">
        <v>9</v>
      </c>
      <c r="D75" s="59">
        <v>45627.0</v>
      </c>
      <c r="E75" s="51" t="s">
        <v>75</v>
      </c>
      <c r="F75" s="17">
        <v>0.0</v>
      </c>
      <c r="G75" s="18">
        <v>0.0</v>
      </c>
      <c r="H75" s="57">
        <v>9.0</v>
      </c>
      <c r="I75" s="58">
        <v>1223.0</v>
      </c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>
      <c r="A76" s="49">
        <f t="shared" si="1"/>
        <v>75</v>
      </c>
      <c r="B76" s="49"/>
      <c r="C76" s="49" t="s">
        <v>11</v>
      </c>
      <c r="D76" s="59">
        <v>45627.0</v>
      </c>
      <c r="E76" s="51" t="s">
        <v>76</v>
      </c>
      <c r="F76" s="55">
        <v>191.0</v>
      </c>
      <c r="G76" s="56">
        <v>11720.0</v>
      </c>
      <c r="H76" s="57">
        <v>8.0</v>
      </c>
      <c r="I76" s="58">
        <v>616.0</v>
      </c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49">
        <f t="shared" si="1"/>
        <v>76</v>
      </c>
      <c r="B77" s="49"/>
      <c r="C77" s="49" t="s">
        <v>36</v>
      </c>
      <c r="D77" s="53">
        <v>45717.0</v>
      </c>
      <c r="E77" s="52">
        <v>19.0</v>
      </c>
      <c r="F77" s="17">
        <v>0.0</v>
      </c>
      <c r="G77" s="18">
        <v>0.0</v>
      </c>
      <c r="H77" s="57">
        <v>6.0</v>
      </c>
      <c r="I77" s="58">
        <v>114.0</v>
      </c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49">
        <f t="shared" si="1"/>
        <v>77</v>
      </c>
      <c r="B78" s="49"/>
      <c r="C78" s="49" t="s">
        <v>7</v>
      </c>
      <c r="D78" s="53">
        <v>45717.0</v>
      </c>
      <c r="E78" s="54" t="s">
        <v>77</v>
      </c>
      <c r="F78" s="55">
        <v>51.0</v>
      </c>
      <c r="G78" s="56">
        <v>4311.0</v>
      </c>
      <c r="H78" s="57">
        <v>13.0</v>
      </c>
      <c r="I78" s="58">
        <v>1379.0</v>
      </c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49">
        <f t="shared" si="1"/>
        <v>78</v>
      </c>
      <c r="B79" s="49"/>
      <c r="C79" s="49" t="s">
        <v>29</v>
      </c>
      <c r="D79" s="53">
        <v>45717.0</v>
      </c>
      <c r="E79" s="52">
        <v>5.24</v>
      </c>
      <c r="F79" s="17">
        <v>0.0</v>
      </c>
      <c r="G79" s="18">
        <v>0.0</v>
      </c>
      <c r="H79" s="57">
        <v>20.0</v>
      </c>
      <c r="I79" s="58">
        <v>105.0</v>
      </c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49">
        <f t="shared" si="1"/>
        <v>79</v>
      </c>
      <c r="B80" s="49"/>
      <c r="C80" s="49" t="s">
        <v>23</v>
      </c>
      <c r="D80" s="53">
        <v>45717.0</v>
      </c>
      <c r="E80" s="52">
        <v>76.0</v>
      </c>
      <c r="F80" s="17">
        <v>0.0</v>
      </c>
      <c r="G80" s="18">
        <v>0.0</v>
      </c>
      <c r="H80" s="57">
        <v>4.0</v>
      </c>
      <c r="I80" s="58">
        <v>304.0</v>
      </c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>
      <c r="A81" s="49">
        <f t="shared" si="1"/>
        <v>80</v>
      </c>
      <c r="B81" s="49"/>
      <c r="C81" s="49" t="s">
        <v>9</v>
      </c>
      <c r="D81" s="53">
        <v>45717.0</v>
      </c>
      <c r="E81" s="54" t="s">
        <v>71</v>
      </c>
      <c r="F81" s="17">
        <v>0.0</v>
      </c>
      <c r="G81" s="18">
        <v>0.0</v>
      </c>
      <c r="H81" s="57">
        <v>12.0</v>
      </c>
      <c r="I81" s="58">
        <v>1378.0</v>
      </c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>
      <c r="A82" s="49">
        <f t="shared" si="1"/>
        <v>81</v>
      </c>
      <c r="B82" s="49"/>
      <c r="C82" s="49" t="s">
        <v>11</v>
      </c>
      <c r="D82" s="53">
        <v>45717.0</v>
      </c>
      <c r="E82" s="54" t="s">
        <v>78</v>
      </c>
      <c r="F82" s="55">
        <v>191.0</v>
      </c>
      <c r="G82" s="56">
        <v>8562.0</v>
      </c>
      <c r="H82" s="57">
        <v>8.0</v>
      </c>
      <c r="I82" s="58">
        <v>450.0</v>
      </c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>
      <c r="A83" s="49">
        <f t="shared" si="1"/>
        <v>82</v>
      </c>
      <c r="B83" s="49"/>
      <c r="C83" s="49" t="s">
        <v>21</v>
      </c>
      <c r="D83" s="53">
        <v>45717.0</v>
      </c>
      <c r="E83" s="52">
        <v>28.0</v>
      </c>
      <c r="F83" s="17">
        <v>0.0</v>
      </c>
      <c r="G83" s="18">
        <v>0.0</v>
      </c>
      <c r="H83" s="57">
        <v>10.0</v>
      </c>
      <c r="I83" s="58">
        <v>280.0</v>
      </c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49">
        <f t="shared" si="1"/>
        <v>83</v>
      </c>
      <c r="B84" s="49"/>
      <c r="C84" s="49" t="s">
        <v>20</v>
      </c>
      <c r="D84" s="53">
        <v>45717.0</v>
      </c>
      <c r="E84" s="52">
        <v>97.0</v>
      </c>
      <c r="F84" s="17">
        <v>0.0</v>
      </c>
      <c r="G84" s="18">
        <v>0.0</v>
      </c>
      <c r="H84" s="57">
        <v>5.0</v>
      </c>
      <c r="I84" s="58">
        <v>485.0</v>
      </c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49">
        <f t="shared" si="1"/>
        <v>84</v>
      </c>
      <c r="B85" s="49"/>
      <c r="C85" s="49" t="s">
        <v>17</v>
      </c>
      <c r="D85" s="53">
        <v>45717.0</v>
      </c>
      <c r="E85" s="52">
        <v>26.0</v>
      </c>
      <c r="F85" s="55">
        <v>64.0</v>
      </c>
      <c r="G85" s="56">
        <v>1327.0</v>
      </c>
      <c r="H85" s="57">
        <v>10.0</v>
      </c>
      <c r="I85" s="58">
        <v>260.0</v>
      </c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49">
        <f t="shared" si="1"/>
        <v>85</v>
      </c>
      <c r="B86" s="49"/>
      <c r="C86" s="49" t="s">
        <v>30</v>
      </c>
      <c r="D86" s="53">
        <v>45717.0</v>
      </c>
      <c r="E86" s="52">
        <v>80.0</v>
      </c>
      <c r="F86" s="55">
        <v>2.0</v>
      </c>
      <c r="G86" s="56">
        <v>128.0</v>
      </c>
      <c r="H86" s="57">
        <v>3.0</v>
      </c>
      <c r="I86" s="58">
        <v>240.0</v>
      </c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49">
        <f t="shared" si="1"/>
        <v>86</v>
      </c>
      <c r="B87" s="49"/>
      <c r="C87" s="49" t="s">
        <v>18</v>
      </c>
      <c r="D87" s="53">
        <v>45717.0</v>
      </c>
      <c r="E87" s="52">
        <v>35.5</v>
      </c>
      <c r="F87" s="55">
        <v>9.0</v>
      </c>
      <c r="G87" s="56">
        <v>256.0</v>
      </c>
      <c r="H87" s="57">
        <v>2.0</v>
      </c>
      <c r="I87" s="58">
        <v>72.0</v>
      </c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49">
        <f t="shared" si="1"/>
        <v>87</v>
      </c>
      <c r="B88" s="49"/>
      <c r="C88" s="49" t="s">
        <v>14</v>
      </c>
      <c r="D88" s="53">
        <v>45717.0</v>
      </c>
      <c r="E88" s="52">
        <v>80.0</v>
      </c>
      <c r="F88" s="55">
        <v>16.0</v>
      </c>
      <c r="G88" s="56">
        <v>1020.0</v>
      </c>
      <c r="H88" s="57">
        <v>6.0</v>
      </c>
      <c r="I88" s="58">
        <v>480.0</v>
      </c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49">
        <f t="shared" si="1"/>
        <v>88</v>
      </c>
      <c r="B89" s="49"/>
      <c r="C89" s="49" t="s">
        <v>12</v>
      </c>
      <c r="D89" s="53">
        <v>45717.0</v>
      </c>
      <c r="E89" s="52">
        <v>43.0</v>
      </c>
      <c r="F89" s="17">
        <v>0.0</v>
      </c>
      <c r="G89" s="18">
        <v>0.0</v>
      </c>
      <c r="H89" s="57">
        <v>13.0</v>
      </c>
      <c r="I89" s="58">
        <v>559.0</v>
      </c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49">
        <f t="shared" si="1"/>
        <v>89</v>
      </c>
      <c r="B90" s="49"/>
      <c r="C90" s="49" t="s">
        <v>16</v>
      </c>
      <c r="D90" s="53">
        <v>45748.0</v>
      </c>
      <c r="E90" s="52">
        <v>71.0</v>
      </c>
      <c r="F90" s="55">
        <v>15.0</v>
      </c>
      <c r="G90" s="56">
        <v>849.0</v>
      </c>
      <c r="H90" s="57">
        <v>4.0</v>
      </c>
      <c r="I90" s="58">
        <v>284.0</v>
      </c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49">
        <f t="shared" si="1"/>
        <v>90</v>
      </c>
      <c r="B91" s="49"/>
      <c r="C91" s="49" t="s">
        <v>32</v>
      </c>
      <c r="D91" s="53">
        <v>45809.0</v>
      </c>
      <c r="E91" s="52">
        <v>50.0</v>
      </c>
      <c r="F91" s="55">
        <v>9.0</v>
      </c>
      <c r="G91" s="56">
        <v>360.0</v>
      </c>
      <c r="H91" s="57">
        <v>7.0</v>
      </c>
      <c r="I91" s="58">
        <v>350.0</v>
      </c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49">
        <f t="shared" si="1"/>
        <v>91</v>
      </c>
      <c r="B92" s="49"/>
      <c r="C92" s="49" t="s">
        <v>19</v>
      </c>
      <c r="D92" s="53">
        <v>45809.0</v>
      </c>
      <c r="E92" s="52">
        <v>75.0</v>
      </c>
      <c r="F92" s="55">
        <v>17.0</v>
      </c>
      <c r="G92" s="56">
        <v>1017.0</v>
      </c>
      <c r="H92" s="57">
        <v>10.0</v>
      </c>
      <c r="I92" s="58">
        <v>750.0</v>
      </c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>
      <c r="A93" s="49">
        <f t="shared" si="1"/>
        <v>92</v>
      </c>
      <c r="B93" s="49"/>
      <c r="C93" s="49" t="s">
        <v>41</v>
      </c>
      <c r="D93" s="53">
        <v>45809.0</v>
      </c>
      <c r="E93" s="52">
        <v>57.84</v>
      </c>
      <c r="F93" s="55">
        <v>14.0</v>
      </c>
      <c r="G93" s="56">
        <v>646.0</v>
      </c>
      <c r="H93" s="57">
        <v>2.0</v>
      </c>
      <c r="I93" s="58">
        <v>117.0</v>
      </c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>
      <c r="A94" s="49">
        <f t="shared" si="1"/>
        <v>93</v>
      </c>
      <c r="B94" s="49"/>
      <c r="C94" s="49" t="s">
        <v>42</v>
      </c>
      <c r="D94" s="53">
        <v>45809.0</v>
      </c>
      <c r="E94" s="52">
        <v>20.0</v>
      </c>
      <c r="F94" s="55">
        <v>10.0</v>
      </c>
      <c r="G94" s="56">
        <v>160.0</v>
      </c>
      <c r="H94" s="57">
        <v>6.0</v>
      </c>
      <c r="I94" s="58">
        <v>120.0</v>
      </c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>
      <c r="A95" s="49">
        <f t="shared" si="1"/>
        <v>94</v>
      </c>
      <c r="B95" s="49"/>
      <c r="C95" s="49" t="s">
        <v>40</v>
      </c>
      <c r="D95" s="53">
        <v>45809.0</v>
      </c>
      <c r="E95" s="52">
        <v>140.0</v>
      </c>
      <c r="F95" s="55">
        <v>11.0</v>
      </c>
      <c r="G95" s="56">
        <v>1228.0</v>
      </c>
      <c r="H95" s="57">
        <v>9.0</v>
      </c>
      <c r="I95" s="58">
        <v>1260.0</v>
      </c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>
      <c r="A96" s="49">
        <f t="shared" si="1"/>
        <v>95</v>
      </c>
      <c r="B96" s="49"/>
      <c r="C96" s="49" t="s">
        <v>39</v>
      </c>
      <c r="D96" s="53">
        <v>45809.0</v>
      </c>
      <c r="E96" s="52">
        <v>5.5</v>
      </c>
      <c r="F96" s="17">
        <v>0.0</v>
      </c>
      <c r="G96" s="18">
        <v>0.0</v>
      </c>
      <c r="H96" s="57">
        <v>50.0</v>
      </c>
      <c r="I96" s="58">
        <v>275.0</v>
      </c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>
      <c r="A97" s="49">
        <f t="shared" si="1"/>
        <v>96</v>
      </c>
      <c r="B97" s="49"/>
      <c r="C97" s="49" t="s">
        <v>48</v>
      </c>
      <c r="D97" s="53">
        <v>45809.0</v>
      </c>
      <c r="E97" s="52">
        <v>4.3</v>
      </c>
      <c r="F97" s="55">
        <v>100.0</v>
      </c>
      <c r="G97" s="56">
        <v>344.0</v>
      </c>
      <c r="H97" s="57">
        <v>30.0</v>
      </c>
      <c r="I97" s="58">
        <v>129.0</v>
      </c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49">
        <f t="shared" si="1"/>
        <v>97</v>
      </c>
      <c r="B98" s="49"/>
      <c r="C98" s="49" t="s">
        <v>47</v>
      </c>
      <c r="D98" s="53">
        <v>45809.0</v>
      </c>
      <c r="E98" s="52">
        <v>75.0</v>
      </c>
      <c r="F98" s="55">
        <v>8.0</v>
      </c>
      <c r="G98" s="56">
        <v>479.0</v>
      </c>
      <c r="H98" s="57">
        <v>6.0</v>
      </c>
      <c r="I98" s="58">
        <v>450.0</v>
      </c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49">
        <f t="shared" si="1"/>
        <v>98</v>
      </c>
      <c r="B99" s="49"/>
      <c r="C99" s="49" t="s">
        <v>45</v>
      </c>
      <c r="D99" s="53">
        <v>45809.0</v>
      </c>
      <c r="E99" s="52">
        <v>195.0</v>
      </c>
      <c r="F99" s="17">
        <v>0.0</v>
      </c>
      <c r="G99" s="18">
        <v>0.0</v>
      </c>
      <c r="H99" s="57">
        <v>1.0</v>
      </c>
      <c r="I99" s="58">
        <v>195.0</v>
      </c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>
      <c r="A100" s="49">
        <f t="shared" si="1"/>
        <v>99</v>
      </c>
      <c r="B100" s="49"/>
      <c r="C100" s="49" t="s">
        <v>33</v>
      </c>
      <c r="D100" s="53">
        <v>45809.0</v>
      </c>
      <c r="E100" s="52">
        <v>50.0</v>
      </c>
      <c r="F100" s="55">
        <v>24.0</v>
      </c>
      <c r="G100" s="56">
        <v>957.0</v>
      </c>
      <c r="H100" s="57">
        <v>6.0</v>
      </c>
      <c r="I100" s="58">
        <v>300.0</v>
      </c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49">
        <f t="shared" si="1"/>
        <v>100</v>
      </c>
      <c r="B101" s="49"/>
      <c r="C101" s="49" t="s">
        <v>46</v>
      </c>
      <c r="D101" s="53">
        <v>45809.0</v>
      </c>
      <c r="E101" s="52">
        <v>2.6</v>
      </c>
      <c r="F101" s="17">
        <v>0.0</v>
      </c>
      <c r="G101" s="18">
        <v>0.0</v>
      </c>
      <c r="H101" s="57">
        <v>125.0</v>
      </c>
      <c r="I101" s="58">
        <v>325.0</v>
      </c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>
      <c r="A102" s="49">
        <f t="shared" si="1"/>
        <v>101</v>
      </c>
      <c r="B102" s="49"/>
      <c r="C102" s="49" t="s">
        <v>29</v>
      </c>
      <c r="D102" s="53">
        <v>45809.0</v>
      </c>
      <c r="E102" s="52">
        <v>13.8</v>
      </c>
      <c r="F102" s="17">
        <v>0.0</v>
      </c>
      <c r="G102" s="18">
        <v>0.0</v>
      </c>
      <c r="H102" s="57">
        <v>20.0</v>
      </c>
      <c r="I102" s="58">
        <v>276.0</v>
      </c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>
      <c r="A103" s="49">
        <f t="shared" si="1"/>
        <v>102</v>
      </c>
      <c r="B103" s="49"/>
      <c r="C103" s="49" t="s">
        <v>28</v>
      </c>
      <c r="D103" s="53">
        <v>45809.0</v>
      </c>
      <c r="E103" s="52">
        <v>107.0</v>
      </c>
      <c r="F103" s="17">
        <v>0.0</v>
      </c>
      <c r="G103" s="18">
        <v>0.0</v>
      </c>
      <c r="H103" s="57">
        <v>2.0</v>
      </c>
      <c r="I103" s="58">
        <v>214.0</v>
      </c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49">
        <f t="shared" si="1"/>
        <v>103</v>
      </c>
      <c r="B104" s="49"/>
      <c r="C104" s="49" t="s">
        <v>7</v>
      </c>
      <c r="D104" s="53">
        <v>45809.0</v>
      </c>
      <c r="E104" s="54" t="s">
        <v>79</v>
      </c>
      <c r="F104" s="55">
        <v>51.0</v>
      </c>
      <c r="G104" s="56">
        <v>4821.0</v>
      </c>
      <c r="H104" s="57">
        <v>16.0</v>
      </c>
      <c r="I104" s="58">
        <v>1898.0</v>
      </c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49">
        <f t="shared" si="1"/>
        <v>104</v>
      </c>
      <c r="B105" s="49"/>
      <c r="C105" s="49" t="s">
        <v>35</v>
      </c>
      <c r="D105" s="53">
        <v>45809.0</v>
      </c>
      <c r="E105" s="52">
        <v>50.0</v>
      </c>
      <c r="F105" s="55">
        <v>15.0</v>
      </c>
      <c r="G105" s="56">
        <v>599.0</v>
      </c>
      <c r="H105" s="57">
        <v>6.0</v>
      </c>
      <c r="I105" s="58">
        <v>300.0</v>
      </c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>
      <c r="A106" s="49">
        <f t="shared" si="1"/>
        <v>105</v>
      </c>
      <c r="B106" s="49"/>
      <c r="C106" s="49" t="s">
        <v>34</v>
      </c>
      <c r="D106" s="53">
        <v>45809.0</v>
      </c>
      <c r="E106" s="52">
        <v>65.0</v>
      </c>
      <c r="F106" s="55">
        <v>9.0</v>
      </c>
      <c r="G106" s="56">
        <v>467.0</v>
      </c>
      <c r="H106" s="57">
        <v>5.0</v>
      </c>
      <c r="I106" s="58">
        <v>325.0</v>
      </c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49">
        <f t="shared" si="1"/>
        <v>106</v>
      </c>
      <c r="B107" s="49"/>
      <c r="C107" s="49" t="s">
        <v>31</v>
      </c>
      <c r="D107" s="53">
        <v>45809.0</v>
      </c>
      <c r="E107" s="52">
        <v>100.0</v>
      </c>
      <c r="F107" s="55">
        <v>6.0</v>
      </c>
      <c r="G107" s="56">
        <v>479.0</v>
      </c>
      <c r="H107" s="57">
        <v>3.0</v>
      </c>
      <c r="I107" s="58">
        <v>300.0</v>
      </c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>
      <c r="A108" s="49">
        <f t="shared" si="1"/>
        <v>107</v>
      </c>
      <c r="B108" s="49"/>
      <c r="C108" s="49" t="s">
        <v>44</v>
      </c>
      <c r="D108" s="53">
        <v>45809.0</v>
      </c>
      <c r="E108" s="52">
        <v>91.0</v>
      </c>
      <c r="F108" s="55">
        <v>26.0</v>
      </c>
      <c r="G108" s="56">
        <v>1886.0</v>
      </c>
      <c r="H108" s="57">
        <v>5.0</v>
      </c>
      <c r="I108" s="58">
        <v>455.0</v>
      </c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>
      <c r="A109" s="49">
        <f t="shared" si="1"/>
        <v>108</v>
      </c>
      <c r="B109" s="49"/>
      <c r="C109" s="49" t="s">
        <v>43</v>
      </c>
      <c r="D109" s="53">
        <v>45809.0</v>
      </c>
      <c r="E109" s="52">
        <v>76.0</v>
      </c>
      <c r="F109" s="55">
        <v>33.0</v>
      </c>
      <c r="G109" s="56">
        <v>1999.0</v>
      </c>
      <c r="H109" s="57">
        <v>5.0</v>
      </c>
      <c r="I109" s="58">
        <v>380.0</v>
      </c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49">
        <f t="shared" si="1"/>
        <v>109</v>
      </c>
      <c r="B110" s="49"/>
      <c r="C110" s="49" t="s">
        <v>9</v>
      </c>
      <c r="D110" s="53">
        <v>45809.0</v>
      </c>
      <c r="E110" s="54" t="s">
        <v>80</v>
      </c>
      <c r="F110" s="17">
        <v>0.0</v>
      </c>
      <c r="G110" s="18">
        <v>0.0</v>
      </c>
      <c r="H110" s="57">
        <v>17.0</v>
      </c>
      <c r="I110" s="58">
        <v>1908.0</v>
      </c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49">
        <f t="shared" si="1"/>
        <v>110</v>
      </c>
      <c r="B111" s="49"/>
      <c r="C111" s="49" t="s">
        <v>36</v>
      </c>
      <c r="D111" s="53">
        <v>45809.0</v>
      </c>
      <c r="E111" s="52">
        <v>22.0</v>
      </c>
      <c r="F111" s="17">
        <v>0.0</v>
      </c>
      <c r="G111" s="18">
        <v>0.0</v>
      </c>
      <c r="H111" s="57">
        <v>7.0</v>
      </c>
      <c r="I111" s="58">
        <v>154.0</v>
      </c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>
      <c r="A112" s="49">
        <f t="shared" si="1"/>
        <v>111</v>
      </c>
      <c r="B112" s="49"/>
      <c r="C112" s="49" t="s">
        <v>11</v>
      </c>
      <c r="D112" s="53">
        <v>45809.0</v>
      </c>
      <c r="E112" s="54" t="s">
        <v>81</v>
      </c>
      <c r="F112" s="55">
        <v>191.0</v>
      </c>
      <c r="G112" s="56">
        <v>9858.0</v>
      </c>
      <c r="H112" s="57">
        <v>9.0</v>
      </c>
      <c r="I112" s="58">
        <v>583.0</v>
      </c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>
      <c r="A113" s="49">
        <f t="shared" si="1"/>
        <v>112</v>
      </c>
      <c r="B113" s="49"/>
      <c r="C113" s="49" t="s">
        <v>24</v>
      </c>
      <c r="D113" s="53">
        <v>45809.0</v>
      </c>
      <c r="E113" s="52">
        <v>98.0</v>
      </c>
      <c r="F113" s="55">
        <v>26.0</v>
      </c>
      <c r="G113" s="56">
        <v>2031.0</v>
      </c>
      <c r="H113" s="57">
        <v>5.0</v>
      </c>
      <c r="I113" s="58">
        <v>490.0</v>
      </c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>
      <c r="A114" s="49">
        <f t="shared" si="1"/>
        <v>113</v>
      </c>
      <c r="B114" s="49"/>
      <c r="C114" s="49" t="s">
        <v>49</v>
      </c>
      <c r="D114" s="53">
        <v>45809.0</v>
      </c>
      <c r="E114" s="52">
        <v>50.0</v>
      </c>
      <c r="F114" s="55">
        <v>13.0</v>
      </c>
      <c r="G114" s="56">
        <v>519.0</v>
      </c>
      <c r="H114" s="57">
        <v>11.0</v>
      </c>
      <c r="I114" s="58">
        <v>550.0</v>
      </c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>
      <c r="A115" s="49">
        <f t="shared" si="1"/>
        <v>114</v>
      </c>
      <c r="B115" s="49"/>
      <c r="C115" s="49" t="s">
        <v>25</v>
      </c>
      <c r="D115" s="53">
        <v>45809.0</v>
      </c>
      <c r="E115" s="52">
        <v>13.0</v>
      </c>
      <c r="F115" s="17">
        <v>0.0</v>
      </c>
      <c r="G115" s="18">
        <v>0.0</v>
      </c>
      <c r="H115" s="57">
        <v>4.0</v>
      </c>
      <c r="I115" s="58">
        <v>52.0</v>
      </c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49">
        <f t="shared" si="1"/>
        <v>115</v>
      </c>
      <c r="B116" s="49"/>
      <c r="C116" s="49" t="s">
        <v>37</v>
      </c>
      <c r="D116" s="53">
        <v>45809.0</v>
      </c>
      <c r="E116" s="52">
        <v>39.0</v>
      </c>
      <c r="F116" s="55">
        <v>22.0</v>
      </c>
      <c r="G116" s="56">
        <v>685.0</v>
      </c>
      <c r="H116" s="57">
        <v>7.0</v>
      </c>
      <c r="I116" s="58">
        <v>273.0</v>
      </c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49">
        <f t="shared" si="1"/>
        <v>116</v>
      </c>
      <c r="B117" s="49"/>
      <c r="C117" s="49" t="s">
        <v>15</v>
      </c>
      <c r="D117" s="53">
        <v>45809.0</v>
      </c>
      <c r="E117" s="52">
        <v>80.0</v>
      </c>
      <c r="F117" s="55">
        <v>8.0</v>
      </c>
      <c r="G117" s="56">
        <v>510.0</v>
      </c>
      <c r="H117" s="57">
        <v>5.0</v>
      </c>
      <c r="I117" s="58">
        <v>400.0</v>
      </c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>
      <c r="A118" s="49">
        <f t="shared" si="1"/>
        <v>117</v>
      </c>
      <c r="B118" s="49"/>
      <c r="C118" s="49" t="s">
        <v>13</v>
      </c>
      <c r="D118" s="53">
        <v>45809.0</v>
      </c>
      <c r="E118" s="52">
        <v>45.0</v>
      </c>
      <c r="F118" s="55">
        <v>8.0</v>
      </c>
      <c r="G118" s="56">
        <v>287.0</v>
      </c>
      <c r="H118" s="57">
        <v>6.0</v>
      </c>
      <c r="I118" s="58">
        <v>270.0</v>
      </c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49">
        <f t="shared" si="1"/>
        <v>118</v>
      </c>
      <c r="B119" s="49"/>
      <c r="C119" s="49" t="s">
        <v>38</v>
      </c>
      <c r="D119" s="53">
        <v>45839.0</v>
      </c>
      <c r="E119" s="52">
        <v>62.0</v>
      </c>
      <c r="F119" s="55">
        <v>30.0</v>
      </c>
      <c r="G119" s="56">
        <v>1483.0</v>
      </c>
      <c r="H119" s="57">
        <v>4.0</v>
      </c>
      <c r="I119" s="58">
        <v>248.0</v>
      </c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>
      <c r="A120" s="49">
        <f t="shared" si="1"/>
        <v>119</v>
      </c>
      <c r="B120" s="49"/>
      <c r="C120" s="49" t="s">
        <v>30</v>
      </c>
      <c r="D120" s="53">
        <v>45870.0</v>
      </c>
      <c r="E120" s="52">
        <v>80.0</v>
      </c>
      <c r="F120" s="55">
        <v>2.0</v>
      </c>
      <c r="G120" s="56">
        <v>128.0</v>
      </c>
      <c r="H120" s="57">
        <v>5.0</v>
      </c>
      <c r="I120" s="58">
        <v>400.0</v>
      </c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>
      <c r="A121" s="49">
        <f t="shared" si="1"/>
        <v>120</v>
      </c>
      <c r="B121" s="49"/>
      <c r="C121" s="49" t="s">
        <v>26</v>
      </c>
      <c r="D121" s="53">
        <v>45901.0</v>
      </c>
      <c r="E121" s="52">
        <v>115.0</v>
      </c>
      <c r="F121" s="17">
        <v>0.0</v>
      </c>
      <c r="G121" s="18">
        <v>0.0</v>
      </c>
      <c r="H121" s="57">
        <v>4.0</v>
      </c>
      <c r="I121" s="58">
        <v>460.0</v>
      </c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49">
        <f t="shared" si="1"/>
        <v>121</v>
      </c>
      <c r="B122" s="49"/>
      <c r="C122" s="49" t="s">
        <v>23</v>
      </c>
      <c r="D122" s="53">
        <v>45901.0</v>
      </c>
      <c r="E122" s="52">
        <v>77.0</v>
      </c>
      <c r="F122" s="17">
        <v>0.0</v>
      </c>
      <c r="G122" s="18">
        <v>0.0</v>
      </c>
      <c r="H122" s="57">
        <v>5.0</v>
      </c>
      <c r="I122" s="58">
        <v>385.0</v>
      </c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49">
        <f t="shared" si="1"/>
        <v>122</v>
      </c>
      <c r="B123" s="49"/>
      <c r="C123" s="49" t="s">
        <v>20</v>
      </c>
      <c r="D123" s="53">
        <v>45901.0</v>
      </c>
      <c r="E123" s="52">
        <v>104.0</v>
      </c>
      <c r="F123" s="17">
        <v>0.0</v>
      </c>
      <c r="G123" s="18">
        <v>0.0</v>
      </c>
      <c r="H123" s="57">
        <v>6.0</v>
      </c>
      <c r="I123" s="58">
        <v>624.0</v>
      </c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>
      <c r="A124" s="49">
        <f t="shared" si="1"/>
        <v>123</v>
      </c>
      <c r="B124" s="49"/>
      <c r="C124" s="49" t="s">
        <v>12</v>
      </c>
      <c r="D124" s="53">
        <v>45901.0</v>
      </c>
      <c r="E124" s="52">
        <v>50.0</v>
      </c>
      <c r="F124" s="17">
        <v>0.0</v>
      </c>
      <c r="G124" s="18">
        <v>0.0</v>
      </c>
      <c r="H124" s="57">
        <v>26.0</v>
      </c>
      <c r="I124" s="58">
        <v>1300.0</v>
      </c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>
      <c r="A125" s="49">
        <f t="shared" si="1"/>
        <v>124</v>
      </c>
      <c r="B125" s="49"/>
      <c r="C125" s="49" t="s">
        <v>36</v>
      </c>
      <c r="D125" s="53">
        <v>45901.0</v>
      </c>
      <c r="E125" s="52">
        <v>22.0</v>
      </c>
      <c r="F125" s="17">
        <v>0.0</v>
      </c>
      <c r="G125" s="18">
        <v>0.0</v>
      </c>
      <c r="H125" s="57">
        <v>9.0</v>
      </c>
      <c r="I125" s="58">
        <v>198.0</v>
      </c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>
      <c r="A126" s="49">
        <f t="shared" si="1"/>
        <v>125</v>
      </c>
      <c r="B126" s="49"/>
      <c r="C126" s="49" t="s">
        <v>21</v>
      </c>
      <c r="D126" s="53">
        <v>45901.0</v>
      </c>
      <c r="E126" s="52">
        <v>28.5</v>
      </c>
      <c r="F126" s="17">
        <v>0.0</v>
      </c>
      <c r="G126" s="18">
        <v>0.0</v>
      </c>
      <c r="H126" s="57">
        <v>12.0</v>
      </c>
      <c r="I126" s="58">
        <v>342.0</v>
      </c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>
      <c r="A127" s="49">
        <f t="shared" si="1"/>
        <v>126</v>
      </c>
      <c r="B127" s="49"/>
      <c r="C127" s="49" t="s">
        <v>18</v>
      </c>
      <c r="D127" s="53">
        <v>45901.0</v>
      </c>
      <c r="E127" s="52">
        <v>37.0</v>
      </c>
      <c r="F127" s="55">
        <v>9.0</v>
      </c>
      <c r="G127" s="56">
        <v>267.0</v>
      </c>
      <c r="H127" s="57">
        <v>4.0</v>
      </c>
      <c r="I127" s="58">
        <v>148.0</v>
      </c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49">
        <f t="shared" si="1"/>
        <v>127</v>
      </c>
      <c r="B128" s="49"/>
      <c r="C128" s="49" t="s">
        <v>14</v>
      </c>
      <c r="D128" s="53">
        <v>45901.0</v>
      </c>
      <c r="E128" s="52">
        <v>75.0</v>
      </c>
      <c r="F128" s="55">
        <v>16.0</v>
      </c>
      <c r="G128" s="56">
        <v>957.0</v>
      </c>
      <c r="H128" s="57">
        <v>9.0</v>
      </c>
      <c r="I128" s="58">
        <v>675.0</v>
      </c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49">
        <f t="shared" si="1"/>
        <v>128</v>
      </c>
      <c r="B129" s="49"/>
      <c r="C129" s="49" t="s">
        <v>29</v>
      </c>
      <c r="D129" s="53">
        <v>45901.0</v>
      </c>
      <c r="E129" s="52">
        <v>20.43</v>
      </c>
      <c r="F129" s="17">
        <v>0.0</v>
      </c>
      <c r="G129" s="18">
        <v>0.0</v>
      </c>
      <c r="H129" s="57">
        <v>20.0</v>
      </c>
      <c r="I129" s="58">
        <v>409.0</v>
      </c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>
      <c r="A130" s="49">
        <f t="shared" si="1"/>
        <v>129</v>
      </c>
      <c r="B130" s="49"/>
      <c r="C130" s="49" t="s">
        <v>7</v>
      </c>
      <c r="D130" s="53">
        <v>45901.0</v>
      </c>
      <c r="E130" s="54" t="s">
        <v>82</v>
      </c>
      <c r="F130" s="55">
        <v>51.0</v>
      </c>
      <c r="G130" s="56">
        <v>5111.0</v>
      </c>
      <c r="H130" s="57">
        <v>17.0</v>
      </c>
      <c r="I130" s="58">
        <v>2138.0</v>
      </c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>
      <c r="A131" s="49">
        <f t="shared" si="1"/>
        <v>130</v>
      </c>
      <c r="B131" s="49"/>
      <c r="C131" s="49" t="s">
        <v>9</v>
      </c>
      <c r="D131" s="53">
        <v>45901.0</v>
      </c>
      <c r="E131" s="54" t="s">
        <v>67</v>
      </c>
      <c r="F131" s="17">
        <v>0.0</v>
      </c>
      <c r="G131" s="18">
        <v>0.0</v>
      </c>
      <c r="H131" s="57">
        <v>18.0</v>
      </c>
      <c r="I131" s="58">
        <v>2010.0</v>
      </c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>
      <c r="A132" s="49">
        <f t="shared" si="1"/>
        <v>131</v>
      </c>
      <c r="B132" s="49"/>
      <c r="C132" s="49" t="s">
        <v>11</v>
      </c>
      <c r="D132" s="53">
        <v>45901.0</v>
      </c>
      <c r="E132" s="54" t="s">
        <v>83</v>
      </c>
      <c r="F132" s="55">
        <v>191.0</v>
      </c>
      <c r="G132" s="56">
        <v>9842.0</v>
      </c>
      <c r="H132" s="57">
        <v>9.0</v>
      </c>
      <c r="I132" s="58">
        <v>582.0</v>
      </c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>
      <c r="A133" s="49">
        <f t="shared" si="1"/>
        <v>132</v>
      </c>
      <c r="B133" s="49"/>
      <c r="C133" s="49" t="s">
        <v>16</v>
      </c>
      <c r="D133" s="53">
        <v>45901.0</v>
      </c>
      <c r="E133" s="52">
        <v>72.0</v>
      </c>
      <c r="F133" s="55">
        <v>15.0</v>
      </c>
      <c r="G133" s="56">
        <v>861.0</v>
      </c>
      <c r="H133" s="57">
        <v>9.0</v>
      </c>
      <c r="I133" s="58">
        <v>648.0</v>
      </c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49">
        <f t="shared" si="1"/>
        <v>133</v>
      </c>
      <c r="B134" s="49"/>
      <c r="C134" s="49" t="s">
        <v>49</v>
      </c>
      <c r="D134" s="53">
        <v>45962.0</v>
      </c>
      <c r="E134" s="52">
        <v>50.0</v>
      </c>
      <c r="F134" s="55">
        <v>13.0</v>
      </c>
      <c r="G134" s="56">
        <v>519.0</v>
      </c>
      <c r="H134" s="57">
        <v>14.0</v>
      </c>
      <c r="I134" s="58">
        <v>700.0</v>
      </c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49">
        <f t="shared" si="1"/>
        <v>134</v>
      </c>
      <c r="B135" s="49"/>
      <c r="C135" s="49" t="s">
        <v>46</v>
      </c>
      <c r="D135" s="53">
        <v>45962.0</v>
      </c>
      <c r="E135" s="52">
        <v>2.65</v>
      </c>
      <c r="F135" s="17">
        <v>0.0</v>
      </c>
      <c r="G135" s="18">
        <v>0.0</v>
      </c>
      <c r="H135" s="57">
        <v>125.0</v>
      </c>
      <c r="I135" s="58">
        <v>332.0</v>
      </c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49">
        <f t="shared" si="1"/>
        <v>135</v>
      </c>
      <c r="B136" s="49"/>
      <c r="C136" s="49" t="s">
        <v>39</v>
      </c>
      <c r="D136" s="53">
        <v>45992.0</v>
      </c>
      <c r="E136" s="52">
        <v>5.5</v>
      </c>
      <c r="F136" s="17">
        <v>0.0</v>
      </c>
      <c r="G136" s="18">
        <v>0.0</v>
      </c>
      <c r="H136" s="57">
        <v>50.0</v>
      </c>
      <c r="I136" s="58">
        <v>275.0</v>
      </c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49">
        <f t="shared" si="1"/>
        <v>136</v>
      </c>
      <c r="B137" s="49"/>
      <c r="C137" s="49" t="s">
        <v>35</v>
      </c>
      <c r="D137" s="53">
        <v>45992.0</v>
      </c>
      <c r="E137" s="52">
        <v>55.0</v>
      </c>
      <c r="F137" s="55">
        <v>15.0</v>
      </c>
      <c r="G137" s="56">
        <v>658.0</v>
      </c>
      <c r="H137" s="57">
        <v>9.0</v>
      </c>
      <c r="I137" s="58">
        <v>495.0</v>
      </c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49">
        <f t="shared" si="1"/>
        <v>137</v>
      </c>
      <c r="B138" s="49"/>
      <c r="C138" s="49" t="s">
        <v>34</v>
      </c>
      <c r="D138" s="53">
        <v>45992.0</v>
      </c>
      <c r="E138" s="52">
        <v>70.0</v>
      </c>
      <c r="F138" s="55">
        <v>9.0</v>
      </c>
      <c r="G138" s="56">
        <v>503.0</v>
      </c>
      <c r="H138" s="57">
        <v>8.0</v>
      </c>
      <c r="I138" s="58">
        <v>560.0</v>
      </c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49">
        <f t="shared" si="1"/>
        <v>138</v>
      </c>
      <c r="B139" s="49"/>
      <c r="C139" s="49" t="s">
        <v>32</v>
      </c>
      <c r="D139" s="53">
        <v>45992.0</v>
      </c>
      <c r="E139" s="52">
        <v>50.0</v>
      </c>
      <c r="F139" s="55">
        <v>9.0</v>
      </c>
      <c r="G139" s="56">
        <v>360.0</v>
      </c>
      <c r="H139" s="57">
        <v>9.0</v>
      </c>
      <c r="I139" s="58">
        <v>450.0</v>
      </c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49">
        <f t="shared" si="1"/>
        <v>139</v>
      </c>
      <c r="B140" s="49"/>
      <c r="C140" s="49" t="s">
        <v>28</v>
      </c>
      <c r="D140" s="53">
        <v>45992.0</v>
      </c>
      <c r="E140" s="52">
        <v>95.0</v>
      </c>
      <c r="F140" s="17">
        <v>0.0</v>
      </c>
      <c r="G140" s="18">
        <v>0.0</v>
      </c>
      <c r="H140" s="57">
        <v>9.0</v>
      </c>
      <c r="I140" s="58">
        <v>855.0</v>
      </c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49">
        <f t="shared" si="1"/>
        <v>140</v>
      </c>
      <c r="B141" s="49"/>
      <c r="C141" s="49" t="s">
        <v>24</v>
      </c>
      <c r="D141" s="53">
        <v>45992.0</v>
      </c>
      <c r="E141" s="52">
        <v>100.0</v>
      </c>
      <c r="F141" s="55">
        <v>26.0</v>
      </c>
      <c r="G141" s="56">
        <v>2072.0</v>
      </c>
      <c r="H141" s="57">
        <v>7.0</v>
      </c>
      <c r="I141" s="58">
        <v>700.0</v>
      </c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49">
        <f t="shared" si="1"/>
        <v>141</v>
      </c>
      <c r="B142" s="49"/>
      <c r="C142" s="49" t="s">
        <v>19</v>
      </c>
      <c r="D142" s="53">
        <v>45992.0</v>
      </c>
      <c r="E142" s="52">
        <v>82.5</v>
      </c>
      <c r="F142" s="55">
        <v>17.0</v>
      </c>
      <c r="G142" s="56">
        <v>1118.0</v>
      </c>
      <c r="H142" s="57">
        <v>13.0</v>
      </c>
      <c r="I142" s="58">
        <v>1073.0</v>
      </c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49">
        <f t="shared" si="1"/>
        <v>142</v>
      </c>
      <c r="B143" s="49"/>
      <c r="C143" s="49" t="s">
        <v>38</v>
      </c>
      <c r="D143" s="53">
        <v>45992.0</v>
      </c>
      <c r="E143" s="52">
        <v>78.0</v>
      </c>
      <c r="F143" s="55">
        <v>30.0</v>
      </c>
      <c r="G143" s="56">
        <v>1865.0</v>
      </c>
      <c r="H143" s="57">
        <v>6.0</v>
      </c>
      <c r="I143" s="58">
        <v>468.0</v>
      </c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49">
        <f t="shared" si="1"/>
        <v>143</v>
      </c>
      <c r="B144" s="49"/>
      <c r="C144" s="49" t="s">
        <v>33</v>
      </c>
      <c r="D144" s="53">
        <v>45992.0</v>
      </c>
      <c r="E144" s="52">
        <v>55.0</v>
      </c>
      <c r="F144" s="55">
        <v>24.0</v>
      </c>
      <c r="G144" s="56">
        <v>1052.0</v>
      </c>
      <c r="H144" s="57">
        <v>7.0</v>
      </c>
      <c r="I144" s="58">
        <v>385.0</v>
      </c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49">
        <f t="shared" si="1"/>
        <v>144</v>
      </c>
      <c r="B145" s="49"/>
      <c r="C145" s="49" t="s">
        <v>31</v>
      </c>
      <c r="D145" s="53">
        <v>45992.0</v>
      </c>
      <c r="E145" s="52">
        <v>100.0</v>
      </c>
      <c r="F145" s="55">
        <v>6.0</v>
      </c>
      <c r="G145" s="56">
        <v>479.0</v>
      </c>
      <c r="H145" s="57">
        <v>3.0</v>
      </c>
      <c r="I145" s="58">
        <v>300.0</v>
      </c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49">
        <f t="shared" si="1"/>
        <v>145</v>
      </c>
      <c r="B146" s="49"/>
      <c r="C146" s="49" t="s">
        <v>45</v>
      </c>
      <c r="D146" s="53">
        <v>45992.0</v>
      </c>
      <c r="E146" s="52">
        <v>115.0</v>
      </c>
      <c r="F146" s="17">
        <v>0.0</v>
      </c>
      <c r="G146" s="18">
        <v>0.0</v>
      </c>
      <c r="H146" s="57">
        <v>7.0</v>
      </c>
      <c r="I146" s="58">
        <v>805.0</v>
      </c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49">
        <f t="shared" si="1"/>
        <v>146</v>
      </c>
      <c r="B147" s="49"/>
      <c r="C147" s="49" t="s">
        <v>48</v>
      </c>
      <c r="D147" s="53">
        <v>45992.0</v>
      </c>
      <c r="E147" s="52">
        <v>4.3</v>
      </c>
      <c r="F147" s="55">
        <v>100.0</v>
      </c>
      <c r="G147" s="56">
        <v>344.0</v>
      </c>
      <c r="H147" s="57">
        <v>30.0</v>
      </c>
      <c r="I147" s="58">
        <v>129.0</v>
      </c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49">
        <f t="shared" si="1"/>
        <v>147</v>
      </c>
      <c r="B148" s="49"/>
      <c r="C148" s="49" t="s">
        <v>43</v>
      </c>
      <c r="D148" s="53">
        <v>45992.0</v>
      </c>
      <c r="E148" s="52">
        <v>75.0</v>
      </c>
      <c r="F148" s="55">
        <v>33.0</v>
      </c>
      <c r="G148" s="56">
        <v>1973.0</v>
      </c>
      <c r="H148" s="57">
        <v>6.0</v>
      </c>
      <c r="I148" s="58">
        <v>450.0</v>
      </c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49">
        <f t="shared" si="1"/>
        <v>148</v>
      </c>
      <c r="B149" s="49"/>
      <c r="C149" s="49" t="s">
        <v>42</v>
      </c>
      <c r="D149" s="53">
        <v>45992.0</v>
      </c>
      <c r="E149" s="52">
        <v>22.0</v>
      </c>
      <c r="F149" s="55">
        <v>10.0</v>
      </c>
      <c r="G149" s="56">
        <v>176.0</v>
      </c>
      <c r="H149" s="57">
        <v>6.0</v>
      </c>
      <c r="I149" s="58">
        <v>132.0</v>
      </c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49">
        <f t="shared" si="1"/>
        <v>149</v>
      </c>
      <c r="B150" s="49"/>
      <c r="C150" s="49" t="s">
        <v>37</v>
      </c>
      <c r="D150" s="53">
        <v>45992.0</v>
      </c>
      <c r="E150" s="52">
        <v>35.0</v>
      </c>
      <c r="F150" s="55">
        <v>22.0</v>
      </c>
      <c r="G150" s="56">
        <v>615.0</v>
      </c>
      <c r="H150" s="57">
        <v>10.0</v>
      </c>
      <c r="I150" s="58">
        <v>350.0</v>
      </c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49">
        <f t="shared" si="1"/>
        <v>150</v>
      </c>
      <c r="B151" s="49"/>
      <c r="C151" s="49" t="s">
        <v>25</v>
      </c>
      <c r="D151" s="53">
        <v>45992.0</v>
      </c>
      <c r="E151" s="52">
        <v>17.0</v>
      </c>
      <c r="F151" s="17">
        <v>0.0</v>
      </c>
      <c r="G151" s="18">
        <v>0.0</v>
      </c>
      <c r="H151" s="57">
        <v>14.0</v>
      </c>
      <c r="I151" s="58">
        <v>238.0</v>
      </c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49">
        <f t="shared" si="1"/>
        <v>151</v>
      </c>
      <c r="B152" s="49"/>
      <c r="C152" s="49" t="s">
        <v>15</v>
      </c>
      <c r="D152" s="53">
        <v>45992.0</v>
      </c>
      <c r="E152" s="52">
        <v>75.0</v>
      </c>
      <c r="F152" s="55">
        <v>8.0</v>
      </c>
      <c r="G152" s="56">
        <v>479.0</v>
      </c>
      <c r="H152" s="57">
        <v>5.0</v>
      </c>
      <c r="I152" s="58">
        <v>375.0</v>
      </c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49">
        <f t="shared" si="1"/>
        <v>152</v>
      </c>
      <c r="B153" s="49"/>
      <c r="C153" s="49" t="s">
        <v>47</v>
      </c>
      <c r="D153" s="53">
        <v>45992.0</v>
      </c>
      <c r="E153" s="52">
        <v>40.0</v>
      </c>
      <c r="F153" s="55">
        <v>16.0</v>
      </c>
      <c r="G153" s="56">
        <v>510.0</v>
      </c>
      <c r="H153" s="57">
        <v>12.0</v>
      </c>
      <c r="I153" s="58">
        <v>480.0</v>
      </c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>
      <c r="A154" s="49">
        <f t="shared" si="1"/>
        <v>153</v>
      </c>
      <c r="B154" s="49"/>
      <c r="C154" s="49" t="s">
        <v>13</v>
      </c>
      <c r="D154" s="53">
        <v>45992.0</v>
      </c>
      <c r="E154" s="52">
        <v>45.0</v>
      </c>
      <c r="F154" s="55">
        <v>8.0</v>
      </c>
      <c r="G154" s="56">
        <v>287.0</v>
      </c>
      <c r="H154" s="57">
        <v>6.0</v>
      </c>
      <c r="I154" s="58">
        <v>270.0</v>
      </c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>
      <c r="A155" s="49">
        <f t="shared" si="1"/>
        <v>154</v>
      </c>
      <c r="B155" s="49"/>
      <c r="C155" s="49" t="s">
        <v>41</v>
      </c>
      <c r="D155" s="53">
        <v>45992.0</v>
      </c>
      <c r="E155" s="52">
        <v>93.76</v>
      </c>
      <c r="F155" s="55">
        <v>14.0</v>
      </c>
      <c r="G155" s="56">
        <v>1047.0</v>
      </c>
      <c r="H155" s="57">
        <v>6.0</v>
      </c>
      <c r="I155" s="58">
        <v>564.0</v>
      </c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>
      <c r="A156" s="49">
        <f t="shared" si="1"/>
        <v>155</v>
      </c>
      <c r="B156" s="49"/>
      <c r="C156" s="49" t="s">
        <v>44</v>
      </c>
      <c r="D156" s="53">
        <v>45992.0</v>
      </c>
      <c r="E156" s="52">
        <v>105.5</v>
      </c>
      <c r="F156" s="55">
        <v>26.0</v>
      </c>
      <c r="G156" s="56">
        <v>2186.0</v>
      </c>
      <c r="H156" s="57">
        <v>5.0</v>
      </c>
      <c r="I156" s="58">
        <v>528.0</v>
      </c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>
      <c r="A157" s="49">
        <f t="shared" si="1"/>
        <v>156</v>
      </c>
      <c r="B157" s="49"/>
      <c r="C157" s="49" t="s">
        <v>40</v>
      </c>
      <c r="D157" s="53">
        <v>45992.0</v>
      </c>
      <c r="E157" s="52">
        <v>40.0</v>
      </c>
      <c r="F157" s="55">
        <v>11.0</v>
      </c>
      <c r="G157" s="56">
        <v>351.0</v>
      </c>
      <c r="H157" s="57">
        <v>12.0</v>
      </c>
      <c r="I157" s="58">
        <v>480.0</v>
      </c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49">
        <f t="shared" si="1"/>
        <v>157</v>
      </c>
      <c r="B158" s="49"/>
      <c r="C158" s="49" t="s">
        <v>36</v>
      </c>
      <c r="D158" s="53">
        <v>45992.0</v>
      </c>
      <c r="E158" s="52">
        <v>22.0</v>
      </c>
      <c r="F158" s="17">
        <v>0.0</v>
      </c>
      <c r="G158" s="18">
        <v>0.0</v>
      </c>
      <c r="H158" s="57">
        <v>9.0</v>
      </c>
      <c r="I158" s="58">
        <v>198.0</v>
      </c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>
      <c r="A159" s="49">
        <f t="shared" si="1"/>
        <v>158</v>
      </c>
      <c r="B159" s="49"/>
      <c r="C159" s="49" t="s">
        <v>29</v>
      </c>
      <c r="D159" s="53">
        <v>45992.0</v>
      </c>
      <c r="E159" s="52">
        <v>14.87</v>
      </c>
      <c r="F159" s="17">
        <v>0.0</v>
      </c>
      <c r="G159" s="18">
        <v>0.0</v>
      </c>
      <c r="H159" s="57">
        <v>20.0</v>
      </c>
      <c r="I159" s="58">
        <v>298.0</v>
      </c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>
      <c r="A160" s="49">
        <f t="shared" si="1"/>
        <v>159</v>
      </c>
      <c r="B160" s="49"/>
      <c r="C160" s="49" t="s">
        <v>7</v>
      </c>
      <c r="D160" s="53">
        <v>45992.0</v>
      </c>
      <c r="E160" s="54" t="s">
        <v>84</v>
      </c>
      <c r="F160" s="55">
        <v>51.0</v>
      </c>
      <c r="G160" s="56">
        <v>7097.0</v>
      </c>
      <c r="H160" s="57">
        <v>18.0</v>
      </c>
      <c r="I160" s="58">
        <v>3143.0</v>
      </c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>
      <c r="A161" s="49">
        <f t="shared" si="1"/>
        <v>160</v>
      </c>
      <c r="B161" s="49"/>
      <c r="C161" s="49" t="s">
        <v>9</v>
      </c>
      <c r="D161" s="53">
        <v>45992.0</v>
      </c>
      <c r="E161" s="54" t="s">
        <v>82</v>
      </c>
      <c r="F161" s="17">
        <v>0.0</v>
      </c>
      <c r="G161" s="18">
        <v>0.0</v>
      </c>
      <c r="H161" s="57">
        <v>19.0</v>
      </c>
      <c r="I161" s="58">
        <v>2524.0</v>
      </c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>
      <c r="A162" s="49">
        <f t="shared" si="1"/>
        <v>161</v>
      </c>
      <c r="B162" s="49"/>
      <c r="C162" s="49" t="s">
        <v>11</v>
      </c>
      <c r="D162" s="53">
        <v>45992.0</v>
      </c>
      <c r="E162" s="54" t="s">
        <v>76</v>
      </c>
      <c r="F162" s="55">
        <v>191.0</v>
      </c>
      <c r="G162" s="56">
        <v>11689.0</v>
      </c>
      <c r="H162" s="57">
        <v>10.0</v>
      </c>
      <c r="I162" s="58">
        <v>768.0</v>
      </c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>
      <c r="A165" s="27"/>
      <c r="B165" s="27"/>
      <c r="C165" s="27"/>
      <c r="D165" s="27"/>
      <c r="E165" s="27"/>
      <c r="F165" s="27"/>
      <c r="G165" s="60"/>
      <c r="H165" s="27"/>
      <c r="I165" s="60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>
      <c r="A166" s="27"/>
      <c r="B166" s="27"/>
      <c r="C166" s="27"/>
      <c r="D166" s="27"/>
      <c r="E166" s="27"/>
      <c r="F166" s="27"/>
      <c r="G166" s="60"/>
      <c r="H166" s="60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</sheetData>
  <autoFilter ref="$C$1:$I$16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.25"/>
    <col customWidth="1" min="3" max="6" width="15.13"/>
    <col customWidth="1" min="7" max="7" width="6.75"/>
    <col customWidth="1" min="8" max="8" width="9.38"/>
    <col customWidth="1" min="9" max="10" width="15.13"/>
  </cols>
  <sheetData>
    <row r="1">
      <c r="A1" s="62" t="s">
        <v>92</v>
      </c>
      <c r="B1" s="63" t="s">
        <v>93</v>
      </c>
      <c r="C1" s="63" t="s">
        <v>94</v>
      </c>
      <c r="D1" s="62" t="s">
        <v>95</v>
      </c>
      <c r="E1" s="62" t="s">
        <v>96</v>
      </c>
      <c r="F1" s="64" t="s">
        <v>97</v>
      </c>
      <c r="G1" s="65" t="s">
        <v>98</v>
      </c>
      <c r="H1" s="5"/>
      <c r="I1" s="66" t="s">
        <v>99</v>
      </c>
      <c r="J1" s="66" t="s">
        <v>100</v>
      </c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</row>
    <row r="2">
      <c r="A2" s="68">
        <v>2024.0</v>
      </c>
      <c r="B2" s="69">
        <v>1.0</v>
      </c>
      <c r="C2" s="70">
        <f>I2</f>
        <v>53000</v>
      </c>
      <c r="D2" s="70">
        <f>I3</f>
        <v>80000</v>
      </c>
      <c r="E2" s="70">
        <f t="shared" ref="E2:E137" si="1">C2+D2</f>
        <v>133000</v>
      </c>
      <c r="F2" s="70">
        <f t="shared" ref="F2:F137" si="2">18000000-E2</f>
        <v>17867000</v>
      </c>
      <c r="G2" s="71" t="s">
        <v>101</v>
      </c>
      <c r="H2" s="72" t="s">
        <v>102</v>
      </c>
      <c r="I2" s="70">
        <v>53000.0</v>
      </c>
      <c r="J2" s="70">
        <f t="shared" ref="J2:J4" si="3">I2*12</f>
        <v>636000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</row>
    <row r="3">
      <c r="A3" s="6"/>
      <c r="B3" s="69">
        <v>2.0</v>
      </c>
      <c r="C3" s="70">
        <f t="shared" ref="C3:C136" si="4">$I$2+C2</f>
        <v>106000</v>
      </c>
      <c r="D3" s="70">
        <f t="shared" ref="D3:D136" si="5">$I$3+D2</f>
        <v>160000</v>
      </c>
      <c r="E3" s="70">
        <f t="shared" si="1"/>
        <v>266000</v>
      </c>
      <c r="F3" s="70">
        <f t="shared" si="2"/>
        <v>17734000</v>
      </c>
      <c r="G3" s="9"/>
      <c r="H3" s="73" t="s">
        <v>103</v>
      </c>
      <c r="I3" s="70">
        <v>80000.0</v>
      </c>
      <c r="J3" s="70">
        <f t="shared" si="3"/>
        <v>960000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</row>
    <row r="4">
      <c r="A4" s="6"/>
      <c r="B4" s="69">
        <v>3.0</v>
      </c>
      <c r="C4" s="70">
        <f t="shared" si="4"/>
        <v>159000</v>
      </c>
      <c r="D4" s="70">
        <f t="shared" si="5"/>
        <v>240000</v>
      </c>
      <c r="E4" s="70">
        <f t="shared" si="1"/>
        <v>399000</v>
      </c>
      <c r="F4" s="70">
        <f t="shared" si="2"/>
        <v>17601000</v>
      </c>
      <c r="G4" s="74" t="s">
        <v>104</v>
      </c>
      <c r="H4" s="5"/>
      <c r="I4" s="75">
        <f>SUM(I2:I3)</f>
        <v>133000</v>
      </c>
      <c r="J4" s="70">
        <f t="shared" si="3"/>
        <v>1596000</v>
      </c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</row>
    <row r="5">
      <c r="A5" s="6"/>
      <c r="B5" s="69">
        <v>4.0</v>
      </c>
      <c r="C5" s="70">
        <f t="shared" si="4"/>
        <v>212000</v>
      </c>
      <c r="D5" s="70">
        <f t="shared" si="5"/>
        <v>320000</v>
      </c>
      <c r="E5" s="70">
        <f t="shared" si="1"/>
        <v>532000</v>
      </c>
      <c r="F5" s="70">
        <f t="shared" si="2"/>
        <v>17468000</v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</row>
    <row r="6">
      <c r="A6" s="6"/>
      <c r="B6" s="69">
        <v>5.0</v>
      </c>
      <c r="C6" s="70">
        <f t="shared" si="4"/>
        <v>265000</v>
      </c>
      <c r="D6" s="70">
        <f t="shared" si="5"/>
        <v>400000</v>
      </c>
      <c r="E6" s="70">
        <f t="shared" si="1"/>
        <v>665000</v>
      </c>
      <c r="F6" s="70">
        <f t="shared" si="2"/>
        <v>17335000</v>
      </c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</row>
    <row r="7">
      <c r="A7" s="6"/>
      <c r="B7" s="69">
        <v>6.0</v>
      </c>
      <c r="C7" s="70">
        <f t="shared" si="4"/>
        <v>318000</v>
      </c>
      <c r="D7" s="70">
        <f t="shared" si="5"/>
        <v>480000</v>
      </c>
      <c r="E7" s="70">
        <f t="shared" si="1"/>
        <v>798000</v>
      </c>
      <c r="F7" s="70">
        <f t="shared" si="2"/>
        <v>17202000</v>
      </c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>
      <c r="A8" s="6"/>
      <c r="B8" s="69">
        <v>7.0</v>
      </c>
      <c r="C8" s="70">
        <f t="shared" si="4"/>
        <v>371000</v>
      </c>
      <c r="D8" s="70">
        <f t="shared" si="5"/>
        <v>560000</v>
      </c>
      <c r="E8" s="70">
        <f t="shared" si="1"/>
        <v>931000</v>
      </c>
      <c r="F8" s="70">
        <f t="shared" si="2"/>
        <v>17069000</v>
      </c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</row>
    <row r="9">
      <c r="A9" s="6"/>
      <c r="B9" s="69">
        <v>8.0</v>
      </c>
      <c r="C9" s="70">
        <f t="shared" si="4"/>
        <v>424000</v>
      </c>
      <c r="D9" s="70">
        <f t="shared" si="5"/>
        <v>640000</v>
      </c>
      <c r="E9" s="70">
        <f t="shared" si="1"/>
        <v>1064000</v>
      </c>
      <c r="F9" s="70">
        <f t="shared" si="2"/>
        <v>16936000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</row>
    <row r="10">
      <c r="A10" s="6"/>
      <c r="B10" s="69">
        <v>9.0</v>
      </c>
      <c r="C10" s="70">
        <f t="shared" si="4"/>
        <v>477000</v>
      </c>
      <c r="D10" s="70">
        <f t="shared" si="5"/>
        <v>720000</v>
      </c>
      <c r="E10" s="70">
        <f t="shared" si="1"/>
        <v>1197000</v>
      </c>
      <c r="F10" s="70">
        <f t="shared" si="2"/>
        <v>16803000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</row>
    <row r="11">
      <c r="A11" s="6"/>
      <c r="B11" s="69">
        <v>10.0</v>
      </c>
      <c r="C11" s="70">
        <f t="shared" si="4"/>
        <v>530000</v>
      </c>
      <c r="D11" s="70">
        <f t="shared" si="5"/>
        <v>800000</v>
      </c>
      <c r="E11" s="70">
        <f t="shared" si="1"/>
        <v>1330000</v>
      </c>
      <c r="F11" s="70">
        <f t="shared" si="2"/>
        <v>16670000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</row>
    <row r="12">
      <c r="A12" s="6"/>
      <c r="B12" s="69">
        <v>11.0</v>
      </c>
      <c r="C12" s="70">
        <f t="shared" si="4"/>
        <v>583000</v>
      </c>
      <c r="D12" s="70">
        <f t="shared" si="5"/>
        <v>880000</v>
      </c>
      <c r="E12" s="70">
        <f t="shared" si="1"/>
        <v>1463000</v>
      </c>
      <c r="F12" s="70">
        <f t="shared" si="2"/>
        <v>16537000</v>
      </c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</row>
    <row r="13">
      <c r="A13" s="9"/>
      <c r="B13" s="69">
        <v>12.0</v>
      </c>
      <c r="C13" s="70">
        <f t="shared" si="4"/>
        <v>636000</v>
      </c>
      <c r="D13" s="70">
        <f t="shared" si="5"/>
        <v>960000</v>
      </c>
      <c r="E13" s="70">
        <f t="shared" si="1"/>
        <v>1596000</v>
      </c>
      <c r="F13" s="70">
        <f t="shared" si="2"/>
        <v>16404000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>
      <c r="A14" s="68">
        <v>2025.0</v>
      </c>
      <c r="B14" s="69">
        <v>1.0</v>
      </c>
      <c r="C14" s="70">
        <f t="shared" si="4"/>
        <v>689000</v>
      </c>
      <c r="D14" s="70">
        <f t="shared" si="5"/>
        <v>1040000</v>
      </c>
      <c r="E14" s="70">
        <f t="shared" si="1"/>
        <v>1729000</v>
      </c>
      <c r="F14" s="70">
        <f t="shared" si="2"/>
        <v>16271000</v>
      </c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</row>
    <row r="15">
      <c r="A15" s="6"/>
      <c r="B15" s="69">
        <v>2.0</v>
      </c>
      <c r="C15" s="70">
        <f t="shared" si="4"/>
        <v>742000</v>
      </c>
      <c r="D15" s="70">
        <f t="shared" si="5"/>
        <v>1120000</v>
      </c>
      <c r="E15" s="70">
        <f t="shared" si="1"/>
        <v>1862000</v>
      </c>
      <c r="F15" s="70">
        <f t="shared" si="2"/>
        <v>16138000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</row>
    <row r="16">
      <c r="A16" s="6"/>
      <c r="B16" s="69">
        <v>3.0</v>
      </c>
      <c r="C16" s="70">
        <f t="shared" si="4"/>
        <v>795000</v>
      </c>
      <c r="D16" s="70">
        <f t="shared" si="5"/>
        <v>1200000</v>
      </c>
      <c r="E16" s="70">
        <f t="shared" si="1"/>
        <v>1995000</v>
      </c>
      <c r="F16" s="70">
        <f t="shared" si="2"/>
        <v>16005000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</row>
    <row r="17">
      <c r="A17" s="6"/>
      <c r="B17" s="69">
        <v>4.0</v>
      </c>
      <c r="C17" s="70">
        <f t="shared" si="4"/>
        <v>848000</v>
      </c>
      <c r="D17" s="70">
        <f t="shared" si="5"/>
        <v>1280000</v>
      </c>
      <c r="E17" s="70">
        <f t="shared" si="1"/>
        <v>2128000</v>
      </c>
      <c r="F17" s="70">
        <f t="shared" si="2"/>
        <v>15872000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</row>
    <row r="18">
      <c r="A18" s="6"/>
      <c r="B18" s="69">
        <v>5.0</v>
      </c>
      <c r="C18" s="70">
        <f t="shared" si="4"/>
        <v>901000</v>
      </c>
      <c r="D18" s="70">
        <f t="shared" si="5"/>
        <v>1360000</v>
      </c>
      <c r="E18" s="70">
        <f t="shared" si="1"/>
        <v>2261000</v>
      </c>
      <c r="F18" s="70">
        <f t="shared" si="2"/>
        <v>15739000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</row>
    <row r="19">
      <c r="A19" s="6"/>
      <c r="B19" s="69">
        <v>6.0</v>
      </c>
      <c r="C19" s="70">
        <f t="shared" si="4"/>
        <v>954000</v>
      </c>
      <c r="D19" s="70">
        <f t="shared" si="5"/>
        <v>1440000</v>
      </c>
      <c r="E19" s="70">
        <f t="shared" si="1"/>
        <v>2394000</v>
      </c>
      <c r="F19" s="70">
        <f t="shared" si="2"/>
        <v>15606000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</row>
    <row r="20">
      <c r="A20" s="6"/>
      <c r="B20" s="69">
        <v>7.0</v>
      </c>
      <c r="C20" s="70">
        <f t="shared" si="4"/>
        <v>1007000</v>
      </c>
      <c r="D20" s="70">
        <f t="shared" si="5"/>
        <v>1520000</v>
      </c>
      <c r="E20" s="70">
        <f t="shared" si="1"/>
        <v>2527000</v>
      </c>
      <c r="F20" s="70">
        <f t="shared" si="2"/>
        <v>15473000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</row>
    <row r="21">
      <c r="A21" s="6"/>
      <c r="B21" s="69">
        <v>8.0</v>
      </c>
      <c r="C21" s="70">
        <f t="shared" si="4"/>
        <v>1060000</v>
      </c>
      <c r="D21" s="70">
        <f t="shared" si="5"/>
        <v>1600000</v>
      </c>
      <c r="E21" s="70">
        <f t="shared" si="1"/>
        <v>2660000</v>
      </c>
      <c r="F21" s="70">
        <f t="shared" si="2"/>
        <v>15340000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</row>
    <row r="22">
      <c r="A22" s="6"/>
      <c r="B22" s="69">
        <v>9.0</v>
      </c>
      <c r="C22" s="70">
        <f t="shared" si="4"/>
        <v>1113000</v>
      </c>
      <c r="D22" s="70">
        <f t="shared" si="5"/>
        <v>1680000</v>
      </c>
      <c r="E22" s="70">
        <f t="shared" si="1"/>
        <v>2793000</v>
      </c>
      <c r="F22" s="70">
        <f t="shared" si="2"/>
        <v>15207000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</row>
    <row r="23">
      <c r="A23" s="6"/>
      <c r="B23" s="69">
        <v>10.0</v>
      </c>
      <c r="C23" s="70">
        <f t="shared" si="4"/>
        <v>1166000</v>
      </c>
      <c r="D23" s="70">
        <f t="shared" si="5"/>
        <v>1760000</v>
      </c>
      <c r="E23" s="70">
        <f t="shared" si="1"/>
        <v>2926000</v>
      </c>
      <c r="F23" s="70">
        <f t="shared" si="2"/>
        <v>15074000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</row>
    <row r="24">
      <c r="A24" s="6"/>
      <c r="B24" s="69">
        <v>11.0</v>
      </c>
      <c r="C24" s="70">
        <f t="shared" si="4"/>
        <v>1219000</v>
      </c>
      <c r="D24" s="70">
        <f t="shared" si="5"/>
        <v>1840000</v>
      </c>
      <c r="E24" s="70">
        <f t="shared" si="1"/>
        <v>3059000</v>
      </c>
      <c r="F24" s="70">
        <f t="shared" si="2"/>
        <v>14941000</v>
      </c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</row>
    <row r="25">
      <c r="A25" s="9"/>
      <c r="B25" s="69">
        <v>12.0</v>
      </c>
      <c r="C25" s="70">
        <f t="shared" si="4"/>
        <v>1272000</v>
      </c>
      <c r="D25" s="70">
        <f t="shared" si="5"/>
        <v>1920000</v>
      </c>
      <c r="E25" s="70">
        <f t="shared" si="1"/>
        <v>3192000</v>
      </c>
      <c r="F25" s="70">
        <f t="shared" si="2"/>
        <v>14808000</v>
      </c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</row>
    <row r="26">
      <c r="A26" s="68">
        <v>2026.0</v>
      </c>
      <c r="B26" s="69">
        <v>1.0</v>
      </c>
      <c r="C26" s="70">
        <f t="shared" si="4"/>
        <v>1325000</v>
      </c>
      <c r="D26" s="70">
        <f t="shared" si="5"/>
        <v>2000000</v>
      </c>
      <c r="E26" s="70">
        <f t="shared" si="1"/>
        <v>3325000</v>
      </c>
      <c r="F26" s="70">
        <f t="shared" si="2"/>
        <v>14675000</v>
      </c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</row>
    <row r="27">
      <c r="A27" s="6"/>
      <c r="B27" s="69">
        <v>2.0</v>
      </c>
      <c r="C27" s="70">
        <f t="shared" si="4"/>
        <v>1378000</v>
      </c>
      <c r="D27" s="70">
        <f t="shared" si="5"/>
        <v>2080000</v>
      </c>
      <c r="E27" s="70">
        <f t="shared" si="1"/>
        <v>3458000</v>
      </c>
      <c r="F27" s="70">
        <f t="shared" si="2"/>
        <v>14542000</v>
      </c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</row>
    <row r="28">
      <c r="A28" s="6"/>
      <c r="B28" s="69">
        <v>3.0</v>
      </c>
      <c r="C28" s="70">
        <f t="shared" si="4"/>
        <v>1431000</v>
      </c>
      <c r="D28" s="70">
        <f t="shared" si="5"/>
        <v>2160000</v>
      </c>
      <c r="E28" s="70">
        <f t="shared" si="1"/>
        <v>3591000</v>
      </c>
      <c r="F28" s="70">
        <f t="shared" si="2"/>
        <v>14409000</v>
      </c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</row>
    <row r="29">
      <c r="A29" s="6"/>
      <c r="B29" s="69">
        <v>4.0</v>
      </c>
      <c r="C29" s="70">
        <f t="shared" si="4"/>
        <v>1484000</v>
      </c>
      <c r="D29" s="70">
        <f t="shared" si="5"/>
        <v>2240000</v>
      </c>
      <c r="E29" s="70">
        <f t="shared" si="1"/>
        <v>3724000</v>
      </c>
      <c r="F29" s="70">
        <f t="shared" si="2"/>
        <v>14276000</v>
      </c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</row>
    <row r="30">
      <c r="A30" s="6"/>
      <c r="B30" s="69">
        <v>5.0</v>
      </c>
      <c r="C30" s="70">
        <f t="shared" si="4"/>
        <v>1537000</v>
      </c>
      <c r="D30" s="70">
        <f t="shared" si="5"/>
        <v>2320000</v>
      </c>
      <c r="E30" s="70">
        <f t="shared" si="1"/>
        <v>3857000</v>
      </c>
      <c r="F30" s="70">
        <f t="shared" si="2"/>
        <v>14143000</v>
      </c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</row>
    <row r="31">
      <c r="A31" s="6"/>
      <c r="B31" s="69">
        <v>6.0</v>
      </c>
      <c r="C31" s="70">
        <f t="shared" si="4"/>
        <v>1590000</v>
      </c>
      <c r="D31" s="70">
        <f t="shared" si="5"/>
        <v>2400000</v>
      </c>
      <c r="E31" s="70">
        <f t="shared" si="1"/>
        <v>3990000</v>
      </c>
      <c r="F31" s="70">
        <f t="shared" si="2"/>
        <v>14010000</v>
      </c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</row>
    <row r="32">
      <c r="A32" s="6"/>
      <c r="B32" s="69">
        <v>7.0</v>
      </c>
      <c r="C32" s="70">
        <f t="shared" si="4"/>
        <v>1643000</v>
      </c>
      <c r="D32" s="70">
        <f t="shared" si="5"/>
        <v>2480000</v>
      </c>
      <c r="E32" s="70">
        <f t="shared" si="1"/>
        <v>4123000</v>
      </c>
      <c r="F32" s="70">
        <f t="shared" si="2"/>
        <v>13877000</v>
      </c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</row>
    <row r="33">
      <c r="A33" s="6"/>
      <c r="B33" s="69">
        <v>8.0</v>
      </c>
      <c r="C33" s="70">
        <f t="shared" si="4"/>
        <v>1696000</v>
      </c>
      <c r="D33" s="70">
        <f t="shared" si="5"/>
        <v>2560000</v>
      </c>
      <c r="E33" s="70">
        <f t="shared" si="1"/>
        <v>4256000</v>
      </c>
      <c r="F33" s="70">
        <f t="shared" si="2"/>
        <v>13744000</v>
      </c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>
      <c r="A34" s="6"/>
      <c r="B34" s="69">
        <v>9.0</v>
      </c>
      <c r="C34" s="70">
        <f t="shared" si="4"/>
        <v>1749000</v>
      </c>
      <c r="D34" s="70">
        <f t="shared" si="5"/>
        <v>2640000</v>
      </c>
      <c r="E34" s="70">
        <f t="shared" si="1"/>
        <v>4389000</v>
      </c>
      <c r="F34" s="70">
        <f t="shared" si="2"/>
        <v>13611000</v>
      </c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</row>
    <row r="35">
      <c r="A35" s="6"/>
      <c r="B35" s="69">
        <v>10.0</v>
      </c>
      <c r="C35" s="70">
        <f t="shared" si="4"/>
        <v>1802000</v>
      </c>
      <c r="D35" s="70">
        <f t="shared" si="5"/>
        <v>2720000</v>
      </c>
      <c r="E35" s="70">
        <f t="shared" si="1"/>
        <v>4522000</v>
      </c>
      <c r="F35" s="70">
        <f t="shared" si="2"/>
        <v>13478000</v>
      </c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</row>
    <row r="36">
      <c r="A36" s="6"/>
      <c r="B36" s="69">
        <v>11.0</v>
      </c>
      <c r="C36" s="70">
        <f t="shared" si="4"/>
        <v>1855000</v>
      </c>
      <c r="D36" s="70">
        <f t="shared" si="5"/>
        <v>2800000</v>
      </c>
      <c r="E36" s="70">
        <f t="shared" si="1"/>
        <v>4655000</v>
      </c>
      <c r="F36" s="70">
        <f t="shared" si="2"/>
        <v>13345000</v>
      </c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</row>
    <row r="37">
      <c r="A37" s="9"/>
      <c r="B37" s="69">
        <v>12.0</v>
      </c>
      <c r="C37" s="70">
        <f t="shared" si="4"/>
        <v>1908000</v>
      </c>
      <c r="D37" s="70">
        <f t="shared" si="5"/>
        <v>2880000</v>
      </c>
      <c r="E37" s="70">
        <f t="shared" si="1"/>
        <v>4788000</v>
      </c>
      <c r="F37" s="70">
        <f t="shared" si="2"/>
        <v>13212000</v>
      </c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</row>
    <row r="38">
      <c r="A38" s="68">
        <v>2027.0</v>
      </c>
      <c r="B38" s="69">
        <v>1.0</v>
      </c>
      <c r="C38" s="70">
        <f t="shared" si="4"/>
        <v>1961000</v>
      </c>
      <c r="D38" s="70">
        <f t="shared" si="5"/>
        <v>2960000</v>
      </c>
      <c r="E38" s="70">
        <f t="shared" si="1"/>
        <v>4921000</v>
      </c>
      <c r="F38" s="70">
        <f t="shared" si="2"/>
        <v>13079000</v>
      </c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</row>
    <row r="39">
      <c r="A39" s="6"/>
      <c r="B39" s="69">
        <v>2.0</v>
      </c>
      <c r="C39" s="70">
        <f t="shared" si="4"/>
        <v>2014000</v>
      </c>
      <c r="D39" s="70">
        <f t="shared" si="5"/>
        <v>3040000</v>
      </c>
      <c r="E39" s="70">
        <f t="shared" si="1"/>
        <v>5054000</v>
      </c>
      <c r="F39" s="70">
        <f t="shared" si="2"/>
        <v>12946000</v>
      </c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</row>
    <row r="40">
      <c r="A40" s="6"/>
      <c r="B40" s="69">
        <v>3.0</v>
      </c>
      <c r="C40" s="70">
        <f t="shared" si="4"/>
        <v>2067000</v>
      </c>
      <c r="D40" s="70">
        <f t="shared" si="5"/>
        <v>3120000</v>
      </c>
      <c r="E40" s="70">
        <f t="shared" si="1"/>
        <v>5187000</v>
      </c>
      <c r="F40" s="70">
        <f t="shared" si="2"/>
        <v>12813000</v>
      </c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>
      <c r="A41" s="6"/>
      <c r="B41" s="69">
        <v>4.0</v>
      </c>
      <c r="C41" s="70">
        <f t="shared" si="4"/>
        <v>2120000</v>
      </c>
      <c r="D41" s="70">
        <f t="shared" si="5"/>
        <v>3200000</v>
      </c>
      <c r="E41" s="70">
        <f t="shared" si="1"/>
        <v>5320000</v>
      </c>
      <c r="F41" s="70">
        <f t="shared" si="2"/>
        <v>12680000</v>
      </c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</row>
    <row r="42">
      <c r="A42" s="6"/>
      <c r="B42" s="69">
        <v>5.0</v>
      </c>
      <c r="C42" s="70">
        <f t="shared" si="4"/>
        <v>2173000</v>
      </c>
      <c r="D42" s="70">
        <f t="shared" si="5"/>
        <v>3280000</v>
      </c>
      <c r="E42" s="70">
        <f t="shared" si="1"/>
        <v>5453000</v>
      </c>
      <c r="F42" s="70">
        <f t="shared" si="2"/>
        <v>12547000</v>
      </c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</row>
    <row r="43">
      <c r="A43" s="6"/>
      <c r="B43" s="69">
        <v>6.0</v>
      </c>
      <c r="C43" s="70">
        <f t="shared" si="4"/>
        <v>2226000</v>
      </c>
      <c r="D43" s="70">
        <f t="shared" si="5"/>
        <v>3360000</v>
      </c>
      <c r="E43" s="70">
        <f t="shared" si="1"/>
        <v>5586000</v>
      </c>
      <c r="F43" s="70">
        <f t="shared" si="2"/>
        <v>12414000</v>
      </c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</row>
    <row r="44">
      <c r="A44" s="6"/>
      <c r="B44" s="69">
        <v>7.0</v>
      </c>
      <c r="C44" s="70">
        <f t="shared" si="4"/>
        <v>2279000</v>
      </c>
      <c r="D44" s="70">
        <f t="shared" si="5"/>
        <v>3440000</v>
      </c>
      <c r="E44" s="70">
        <f t="shared" si="1"/>
        <v>5719000</v>
      </c>
      <c r="F44" s="70">
        <f t="shared" si="2"/>
        <v>12281000</v>
      </c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</row>
    <row r="45">
      <c r="A45" s="6"/>
      <c r="B45" s="69">
        <v>8.0</v>
      </c>
      <c r="C45" s="70">
        <f t="shared" si="4"/>
        <v>2332000</v>
      </c>
      <c r="D45" s="70">
        <f t="shared" si="5"/>
        <v>3520000</v>
      </c>
      <c r="E45" s="70">
        <f t="shared" si="1"/>
        <v>5852000</v>
      </c>
      <c r="F45" s="70">
        <f t="shared" si="2"/>
        <v>12148000</v>
      </c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</row>
    <row r="46">
      <c r="A46" s="6"/>
      <c r="B46" s="69">
        <v>9.0</v>
      </c>
      <c r="C46" s="70">
        <f t="shared" si="4"/>
        <v>2385000</v>
      </c>
      <c r="D46" s="70">
        <f t="shared" si="5"/>
        <v>3600000</v>
      </c>
      <c r="E46" s="70">
        <f t="shared" si="1"/>
        <v>5985000</v>
      </c>
      <c r="F46" s="70">
        <f t="shared" si="2"/>
        <v>12015000</v>
      </c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</row>
    <row r="47">
      <c r="A47" s="6"/>
      <c r="B47" s="69">
        <v>10.0</v>
      </c>
      <c r="C47" s="70">
        <f t="shared" si="4"/>
        <v>2438000</v>
      </c>
      <c r="D47" s="70">
        <f t="shared" si="5"/>
        <v>3680000</v>
      </c>
      <c r="E47" s="70">
        <f t="shared" si="1"/>
        <v>6118000</v>
      </c>
      <c r="F47" s="70">
        <f t="shared" si="2"/>
        <v>11882000</v>
      </c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</row>
    <row r="48">
      <c r="A48" s="6"/>
      <c r="B48" s="69">
        <v>11.0</v>
      </c>
      <c r="C48" s="70">
        <f t="shared" si="4"/>
        <v>2491000</v>
      </c>
      <c r="D48" s="70">
        <f t="shared" si="5"/>
        <v>3760000</v>
      </c>
      <c r="E48" s="70">
        <f t="shared" si="1"/>
        <v>6251000</v>
      </c>
      <c r="F48" s="70">
        <f t="shared" si="2"/>
        <v>11749000</v>
      </c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</row>
    <row r="49">
      <c r="A49" s="9"/>
      <c r="B49" s="69">
        <v>12.0</v>
      </c>
      <c r="C49" s="70">
        <f t="shared" si="4"/>
        <v>2544000</v>
      </c>
      <c r="D49" s="70">
        <f t="shared" si="5"/>
        <v>3840000</v>
      </c>
      <c r="E49" s="70">
        <f t="shared" si="1"/>
        <v>6384000</v>
      </c>
      <c r="F49" s="70">
        <f t="shared" si="2"/>
        <v>11616000</v>
      </c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</row>
    <row r="50">
      <c r="A50" s="68">
        <v>2028.0</v>
      </c>
      <c r="B50" s="69">
        <v>1.0</v>
      </c>
      <c r="C50" s="70">
        <f t="shared" si="4"/>
        <v>2597000</v>
      </c>
      <c r="D50" s="70">
        <f t="shared" si="5"/>
        <v>3920000</v>
      </c>
      <c r="E50" s="70">
        <f t="shared" si="1"/>
        <v>6517000</v>
      </c>
      <c r="F50" s="70">
        <f t="shared" si="2"/>
        <v>11483000</v>
      </c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</row>
    <row r="51">
      <c r="A51" s="6"/>
      <c r="B51" s="69">
        <v>2.0</v>
      </c>
      <c r="C51" s="70">
        <f t="shared" si="4"/>
        <v>2650000</v>
      </c>
      <c r="D51" s="70">
        <f t="shared" si="5"/>
        <v>4000000</v>
      </c>
      <c r="E51" s="70">
        <f t="shared" si="1"/>
        <v>6650000</v>
      </c>
      <c r="F51" s="70">
        <f t="shared" si="2"/>
        <v>11350000</v>
      </c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</row>
    <row r="52">
      <c r="A52" s="6"/>
      <c r="B52" s="69">
        <v>3.0</v>
      </c>
      <c r="C52" s="70">
        <f t="shared" si="4"/>
        <v>2703000</v>
      </c>
      <c r="D52" s="70">
        <f t="shared" si="5"/>
        <v>4080000</v>
      </c>
      <c r="E52" s="70">
        <f t="shared" si="1"/>
        <v>6783000</v>
      </c>
      <c r="F52" s="70">
        <f t="shared" si="2"/>
        <v>11217000</v>
      </c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</row>
    <row r="53">
      <c r="A53" s="6"/>
      <c r="B53" s="69">
        <v>4.0</v>
      </c>
      <c r="C53" s="70">
        <f t="shared" si="4"/>
        <v>2756000</v>
      </c>
      <c r="D53" s="70">
        <f t="shared" si="5"/>
        <v>4160000</v>
      </c>
      <c r="E53" s="70">
        <f t="shared" si="1"/>
        <v>6916000</v>
      </c>
      <c r="F53" s="70">
        <f t="shared" si="2"/>
        <v>11084000</v>
      </c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</row>
    <row r="54">
      <c r="A54" s="6"/>
      <c r="B54" s="69">
        <v>5.0</v>
      </c>
      <c r="C54" s="70">
        <f t="shared" si="4"/>
        <v>2809000</v>
      </c>
      <c r="D54" s="70">
        <f t="shared" si="5"/>
        <v>4240000</v>
      </c>
      <c r="E54" s="70">
        <f t="shared" si="1"/>
        <v>7049000</v>
      </c>
      <c r="F54" s="70">
        <f t="shared" si="2"/>
        <v>10951000</v>
      </c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>
      <c r="A55" s="6"/>
      <c r="B55" s="69">
        <v>6.0</v>
      </c>
      <c r="C55" s="70">
        <f t="shared" si="4"/>
        <v>2862000</v>
      </c>
      <c r="D55" s="70">
        <f t="shared" si="5"/>
        <v>4320000</v>
      </c>
      <c r="E55" s="70">
        <f t="shared" si="1"/>
        <v>7182000</v>
      </c>
      <c r="F55" s="70">
        <f t="shared" si="2"/>
        <v>10818000</v>
      </c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</row>
    <row r="56">
      <c r="A56" s="6"/>
      <c r="B56" s="69">
        <v>7.0</v>
      </c>
      <c r="C56" s="70">
        <f t="shared" si="4"/>
        <v>2915000</v>
      </c>
      <c r="D56" s="70">
        <f t="shared" si="5"/>
        <v>4400000</v>
      </c>
      <c r="E56" s="70">
        <f t="shared" si="1"/>
        <v>7315000</v>
      </c>
      <c r="F56" s="70">
        <f t="shared" si="2"/>
        <v>10685000</v>
      </c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</row>
    <row r="57">
      <c r="A57" s="6"/>
      <c r="B57" s="69">
        <v>8.0</v>
      </c>
      <c r="C57" s="70">
        <f t="shared" si="4"/>
        <v>2968000</v>
      </c>
      <c r="D57" s="70">
        <f t="shared" si="5"/>
        <v>4480000</v>
      </c>
      <c r="E57" s="70">
        <f t="shared" si="1"/>
        <v>7448000</v>
      </c>
      <c r="F57" s="70">
        <f t="shared" si="2"/>
        <v>10552000</v>
      </c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</row>
    <row r="58">
      <c r="A58" s="6"/>
      <c r="B58" s="69">
        <v>9.0</v>
      </c>
      <c r="C58" s="70">
        <f t="shared" si="4"/>
        <v>3021000</v>
      </c>
      <c r="D58" s="70">
        <f t="shared" si="5"/>
        <v>4560000</v>
      </c>
      <c r="E58" s="70">
        <f t="shared" si="1"/>
        <v>7581000</v>
      </c>
      <c r="F58" s="70">
        <f t="shared" si="2"/>
        <v>10419000</v>
      </c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</row>
    <row r="59">
      <c r="A59" s="6"/>
      <c r="B59" s="69">
        <v>10.0</v>
      </c>
      <c r="C59" s="70">
        <f t="shared" si="4"/>
        <v>3074000</v>
      </c>
      <c r="D59" s="70">
        <f t="shared" si="5"/>
        <v>4640000</v>
      </c>
      <c r="E59" s="70">
        <f t="shared" si="1"/>
        <v>7714000</v>
      </c>
      <c r="F59" s="70">
        <f t="shared" si="2"/>
        <v>10286000</v>
      </c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</row>
    <row r="60">
      <c r="A60" s="6"/>
      <c r="B60" s="69">
        <v>11.0</v>
      </c>
      <c r="C60" s="70">
        <f t="shared" si="4"/>
        <v>3127000</v>
      </c>
      <c r="D60" s="70">
        <f t="shared" si="5"/>
        <v>4720000</v>
      </c>
      <c r="E60" s="70">
        <f t="shared" si="1"/>
        <v>7847000</v>
      </c>
      <c r="F60" s="70">
        <f t="shared" si="2"/>
        <v>10153000</v>
      </c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</row>
    <row r="61">
      <c r="A61" s="9"/>
      <c r="B61" s="69">
        <v>12.0</v>
      </c>
      <c r="C61" s="70">
        <f t="shared" si="4"/>
        <v>3180000</v>
      </c>
      <c r="D61" s="70">
        <f t="shared" si="5"/>
        <v>4800000</v>
      </c>
      <c r="E61" s="70">
        <f t="shared" si="1"/>
        <v>7980000</v>
      </c>
      <c r="F61" s="70">
        <f t="shared" si="2"/>
        <v>10020000</v>
      </c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</row>
    <row r="62">
      <c r="A62" s="68">
        <v>2029.0</v>
      </c>
      <c r="B62" s="69">
        <v>1.0</v>
      </c>
      <c r="C62" s="70">
        <f t="shared" si="4"/>
        <v>3233000</v>
      </c>
      <c r="D62" s="70">
        <f t="shared" si="5"/>
        <v>4880000</v>
      </c>
      <c r="E62" s="70">
        <f t="shared" si="1"/>
        <v>8113000</v>
      </c>
      <c r="F62" s="70">
        <f t="shared" si="2"/>
        <v>9887000</v>
      </c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</row>
    <row r="63">
      <c r="A63" s="6"/>
      <c r="B63" s="69">
        <v>2.0</v>
      </c>
      <c r="C63" s="70">
        <f t="shared" si="4"/>
        <v>3286000</v>
      </c>
      <c r="D63" s="70">
        <f t="shared" si="5"/>
        <v>4960000</v>
      </c>
      <c r="E63" s="70">
        <f t="shared" si="1"/>
        <v>8246000</v>
      </c>
      <c r="F63" s="70">
        <f t="shared" si="2"/>
        <v>9754000</v>
      </c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</row>
    <row r="64">
      <c r="A64" s="6"/>
      <c r="B64" s="69">
        <v>3.0</v>
      </c>
      <c r="C64" s="70">
        <f t="shared" si="4"/>
        <v>3339000</v>
      </c>
      <c r="D64" s="70">
        <f t="shared" si="5"/>
        <v>5040000</v>
      </c>
      <c r="E64" s="70">
        <f t="shared" si="1"/>
        <v>8379000</v>
      </c>
      <c r="F64" s="70">
        <f t="shared" si="2"/>
        <v>9621000</v>
      </c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</row>
    <row r="65">
      <c r="A65" s="6"/>
      <c r="B65" s="69">
        <v>4.0</v>
      </c>
      <c r="C65" s="70">
        <f t="shared" si="4"/>
        <v>3392000</v>
      </c>
      <c r="D65" s="70">
        <f t="shared" si="5"/>
        <v>5120000</v>
      </c>
      <c r="E65" s="70">
        <f t="shared" si="1"/>
        <v>8512000</v>
      </c>
      <c r="F65" s="70">
        <f t="shared" si="2"/>
        <v>9488000</v>
      </c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</row>
    <row r="66">
      <c r="A66" s="6"/>
      <c r="B66" s="69">
        <v>5.0</v>
      </c>
      <c r="C66" s="70">
        <f t="shared" si="4"/>
        <v>3445000</v>
      </c>
      <c r="D66" s="70">
        <f t="shared" si="5"/>
        <v>5200000</v>
      </c>
      <c r="E66" s="70">
        <f t="shared" si="1"/>
        <v>8645000</v>
      </c>
      <c r="F66" s="70">
        <f t="shared" si="2"/>
        <v>9355000</v>
      </c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</row>
    <row r="67">
      <c r="A67" s="6"/>
      <c r="B67" s="69">
        <v>6.0</v>
      </c>
      <c r="C67" s="70">
        <f t="shared" si="4"/>
        <v>3498000</v>
      </c>
      <c r="D67" s="70">
        <f t="shared" si="5"/>
        <v>5280000</v>
      </c>
      <c r="E67" s="70">
        <f t="shared" si="1"/>
        <v>8778000</v>
      </c>
      <c r="F67" s="70">
        <f t="shared" si="2"/>
        <v>9222000</v>
      </c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</row>
    <row r="68">
      <c r="A68" s="6"/>
      <c r="B68" s="69">
        <v>7.0</v>
      </c>
      <c r="C68" s="70">
        <f t="shared" si="4"/>
        <v>3551000</v>
      </c>
      <c r="D68" s="70">
        <f t="shared" si="5"/>
        <v>5360000</v>
      </c>
      <c r="E68" s="70">
        <f t="shared" si="1"/>
        <v>8911000</v>
      </c>
      <c r="F68" s="70">
        <f t="shared" si="2"/>
        <v>9089000</v>
      </c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>
      <c r="A69" s="6"/>
      <c r="B69" s="69">
        <v>8.0</v>
      </c>
      <c r="C69" s="70">
        <f t="shared" si="4"/>
        <v>3604000</v>
      </c>
      <c r="D69" s="70">
        <f t="shared" si="5"/>
        <v>5440000</v>
      </c>
      <c r="E69" s="70">
        <f t="shared" si="1"/>
        <v>9044000</v>
      </c>
      <c r="F69" s="70">
        <f t="shared" si="2"/>
        <v>8956000</v>
      </c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>
      <c r="A70" s="6"/>
      <c r="B70" s="69">
        <v>9.0</v>
      </c>
      <c r="C70" s="70">
        <f t="shared" si="4"/>
        <v>3657000</v>
      </c>
      <c r="D70" s="70">
        <f t="shared" si="5"/>
        <v>5520000</v>
      </c>
      <c r="E70" s="70">
        <f t="shared" si="1"/>
        <v>9177000</v>
      </c>
      <c r="F70" s="70">
        <f t="shared" si="2"/>
        <v>8823000</v>
      </c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>
      <c r="A71" s="6"/>
      <c r="B71" s="69">
        <v>10.0</v>
      </c>
      <c r="C71" s="70">
        <f t="shared" si="4"/>
        <v>3710000</v>
      </c>
      <c r="D71" s="70">
        <f t="shared" si="5"/>
        <v>5600000</v>
      </c>
      <c r="E71" s="70">
        <f t="shared" si="1"/>
        <v>9310000</v>
      </c>
      <c r="F71" s="70">
        <f t="shared" si="2"/>
        <v>8690000</v>
      </c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</row>
    <row r="72">
      <c r="A72" s="6"/>
      <c r="B72" s="69">
        <v>11.0</v>
      </c>
      <c r="C72" s="70">
        <f t="shared" si="4"/>
        <v>3763000</v>
      </c>
      <c r="D72" s="70">
        <f t="shared" si="5"/>
        <v>5680000</v>
      </c>
      <c r="E72" s="70">
        <f t="shared" si="1"/>
        <v>9443000</v>
      </c>
      <c r="F72" s="70">
        <f t="shared" si="2"/>
        <v>8557000</v>
      </c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</row>
    <row r="73">
      <c r="A73" s="9"/>
      <c r="B73" s="69">
        <v>12.0</v>
      </c>
      <c r="C73" s="70">
        <f t="shared" si="4"/>
        <v>3816000</v>
      </c>
      <c r="D73" s="70">
        <f t="shared" si="5"/>
        <v>5760000</v>
      </c>
      <c r="E73" s="70">
        <f t="shared" si="1"/>
        <v>9576000</v>
      </c>
      <c r="F73" s="70">
        <f t="shared" si="2"/>
        <v>8424000</v>
      </c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</row>
    <row r="74">
      <c r="A74" s="68">
        <v>2030.0</v>
      </c>
      <c r="B74" s="69">
        <v>1.0</v>
      </c>
      <c r="C74" s="70">
        <f t="shared" si="4"/>
        <v>3869000</v>
      </c>
      <c r="D74" s="70">
        <f t="shared" si="5"/>
        <v>5840000</v>
      </c>
      <c r="E74" s="70">
        <f t="shared" si="1"/>
        <v>9709000</v>
      </c>
      <c r="F74" s="70">
        <f t="shared" si="2"/>
        <v>8291000</v>
      </c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</row>
    <row r="75">
      <c r="A75" s="6"/>
      <c r="B75" s="69">
        <v>2.0</v>
      </c>
      <c r="C75" s="70">
        <f t="shared" si="4"/>
        <v>3922000</v>
      </c>
      <c r="D75" s="70">
        <f t="shared" si="5"/>
        <v>5920000</v>
      </c>
      <c r="E75" s="70">
        <f t="shared" si="1"/>
        <v>9842000</v>
      </c>
      <c r="F75" s="70">
        <f t="shared" si="2"/>
        <v>8158000</v>
      </c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</row>
    <row r="76">
      <c r="A76" s="6"/>
      <c r="B76" s="69">
        <v>3.0</v>
      </c>
      <c r="C76" s="70">
        <f t="shared" si="4"/>
        <v>3975000</v>
      </c>
      <c r="D76" s="70">
        <f t="shared" si="5"/>
        <v>6000000</v>
      </c>
      <c r="E76" s="70">
        <f t="shared" si="1"/>
        <v>9975000</v>
      </c>
      <c r="F76" s="70">
        <f t="shared" si="2"/>
        <v>8025000</v>
      </c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</row>
    <row r="77">
      <c r="A77" s="6"/>
      <c r="B77" s="69">
        <v>4.0</v>
      </c>
      <c r="C77" s="70">
        <f t="shared" si="4"/>
        <v>4028000</v>
      </c>
      <c r="D77" s="70">
        <f t="shared" si="5"/>
        <v>6080000</v>
      </c>
      <c r="E77" s="70">
        <f t="shared" si="1"/>
        <v>10108000</v>
      </c>
      <c r="F77" s="70">
        <f t="shared" si="2"/>
        <v>7892000</v>
      </c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</row>
    <row r="78">
      <c r="A78" s="6"/>
      <c r="B78" s="69">
        <v>5.0</v>
      </c>
      <c r="C78" s="70">
        <f t="shared" si="4"/>
        <v>4081000</v>
      </c>
      <c r="D78" s="70">
        <f t="shared" si="5"/>
        <v>6160000</v>
      </c>
      <c r="E78" s="70">
        <f t="shared" si="1"/>
        <v>10241000</v>
      </c>
      <c r="F78" s="70">
        <f t="shared" si="2"/>
        <v>7759000</v>
      </c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</row>
    <row r="79">
      <c r="A79" s="6"/>
      <c r="B79" s="69">
        <v>6.0</v>
      </c>
      <c r="C79" s="70">
        <f t="shared" si="4"/>
        <v>4134000</v>
      </c>
      <c r="D79" s="70">
        <f t="shared" si="5"/>
        <v>6240000</v>
      </c>
      <c r="E79" s="70">
        <f t="shared" si="1"/>
        <v>10374000</v>
      </c>
      <c r="F79" s="70">
        <f t="shared" si="2"/>
        <v>7626000</v>
      </c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</row>
    <row r="80">
      <c r="A80" s="6"/>
      <c r="B80" s="69">
        <v>7.0</v>
      </c>
      <c r="C80" s="70">
        <f t="shared" si="4"/>
        <v>4187000</v>
      </c>
      <c r="D80" s="70">
        <f t="shared" si="5"/>
        <v>6320000</v>
      </c>
      <c r="E80" s="70">
        <f t="shared" si="1"/>
        <v>10507000</v>
      </c>
      <c r="F80" s="70">
        <f t="shared" si="2"/>
        <v>7493000</v>
      </c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</row>
    <row r="81">
      <c r="A81" s="6"/>
      <c r="B81" s="69">
        <v>8.0</v>
      </c>
      <c r="C81" s="70">
        <f t="shared" si="4"/>
        <v>4240000</v>
      </c>
      <c r="D81" s="70">
        <f t="shared" si="5"/>
        <v>6400000</v>
      </c>
      <c r="E81" s="70">
        <f t="shared" si="1"/>
        <v>10640000</v>
      </c>
      <c r="F81" s="70">
        <f t="shared" si="2"/>
        <v>7360000</v>
      </c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</row>
    <row r="82">
      <c r="A82" s="6"/>
      <c r="B82" s="69">
        <v>9.0</v>
      </c>
      <c r="C82" s="70">
        <f t="shared" si="4"/>
        <v>4293000</v>
      </c>
      <c r="D82" s="70">
        <f t="shared" si="5"/>
        <v>6480000</v>
      </c>
      <c r="E82" s="70">
        <f t="shared" si="1"/>
        <v>10773000</v>
      </c>
      <c r="F82" s="70">
        <f t="shared" si="2"/>
        <v>7227000</v>
      </c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</row>
    <row r="83">
      <c r="A83" s="6"/>
      <c r="B83" s="69">
        <v>10.0</v>
      </c>
      <c r="C83" s="70">
        <f t="shared" si="4"/>
        <v>4346000</v>
      </c>
      <c r="D83" s="70">
        <f t="shared" si="5"/>
        <v>6560000</v>
      </c>
      <c r="E83" s="70">
        <f t="shared" si="1"/>
        <v>10906000</v>
      </c>
      <c r="F83" s="70">
        <f t="shared" si="2"/>
        <v>7094000</v>
      </c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</row>
    <row r="84">
      <c r="A84" s="6"/>
      <c r="B84" s="69">
        <v>11.0</v>
      </c>
      <c r="C84" s="70">
        <f t="shared" si="4"/>
        <v>4399000</v>
      </c>
      <c r="D84" s="70">
        <f t="shared" si="5"/>
        <v>6640000</v>
      </c>
      <c r="E84" s="70">
        <f t="shared" si="1"/>
        <v>11039000</v>
      </c>
      <c r="F84" s="70">
        <f t="shared" si="2"/>
        <v>6961000</v>
      </c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</row>
    <row r="85">
      <c r="A85" s="9"/>
      <c r="B85" s="69">
        <v>12.0</v>
      </c>
      <c r="C85" s="70">
        <f t="shared" si="4"/>
        <v>4452000</v>
      </c>
      <c r="D85" s="70">
        <f t="shared" si="5"/>
        <v>6720000</v>
      </c>
      <c r="E85" s="70">
        <f t="shared" si="1"/>
        <v>11172000</v>
      </c>
      <c r="F85" s="70">
        <f t="shared" si="2"/>
        <v>6828000</v>
      </c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</row>
    <row r="86">
      <c r="A86" s="68">
        <v>2031.0</v>
      </c>
      <c r="B86" s="69">
        <v>1.0</v>
      </c>
      <c r="C86" s="70">
        <f t="shared" si="4"/>
        <v>4505000</v>
      </c>
      <c r="D86" s="70">
        <f t="shared" si="5"/>
        <v>6800000</v>
      </c>
      <c r="E86" s="70">
        <f t="shared" si="1"/>
        <v>11305000</v>
      </c>
      <c r="F86" s="70">
        <f t="shared" si="2"/>
        <v>6695000</v>
      </c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</row>
    <row r="87">
      <c r="A87" s="6"/>
      <c r="B87" s="69">
        <v>2.0</v>
      </c>
      <c r="C87" s="70">
        <f t="shared" si="4"/>
        <v>4558000</v>
      </c>
      <c r="D87" s="70">
        <f t="shared" si="5"/>
        <v>6880000</v>
      </c>
      <c r="E87" s="70">
        <f t="shared" si="1"/>
        <v>11438000</v>
      </c>
      <c r="F87" s="70">
        <f t="shared" si="2"/>
        <v>6562000</v>
      </c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</row>
    <row r="88">
      <c r="A88" s="6"/>
      <c r="B88" s="69">
        <v>3.0</v>
      </c>
      <c r="C88" s="70">
        <f t="shared" si="4"/>
        <v>4611000</v>
      </c>
      <c r="D88" s="70">
        <f t="shared" si="5"/>
        <v>6960000</v>
      </c>
      <c r="E88" s="70">
        <f t="shared" si="1"/>
        <v>11571000</v>
      </c>
      <c r="F88" s="70">
        <f t="shared" si="2"/>
        <v>6429000</v>
      </c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</row>
    <row r="89">
      <c r="A89" s="6"/>
      <c r="B89" s="69">
        <v>4.0</v>
      </c>
      <c r="C89" s="70">
        <f t="shared" si="4"/>
        <v>4664000</v>
      </c>
      <c r="D89" s="70">
        <f t="shared" si="5"/>
        <v>7040000</v>
      </c>
      <c r="E89" s="70">
        <f t="shared" si="1"/>
        <v>11704000</v>
      </c>
      <c r="F89" s="70">
        <f t="shared" si="2"/>
        <v>6296000</v>
      </c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</row>
    <row r="90">
      <c r="A90" s="6"/>
      <c r="B90" s="69">
        <v>5.0</v>
      </c>
      <c r="C90" s="70">
        <f t="shared" si="4"/>
        <v>4717000</v>
      </c>
      <c r="D90" s="70">
        <f t="shared" si="5"/>
        <v>7120000</v>
      </c>
      <c r="E90" s="70">
        <f t="shared" si="1"/>
        <v>11837000</v>
      </c>
      <c r="F90" s="70">
        <f t="shared" si="2"/>
        <v>6163000</v>
      </c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</row>
    <row r="91">
      <c r="A91" s="6"/>
      <c r="B91" s="69">
        <v>6.0</v>
      </c>
      <c r="C91" s="70">
        <f t="shared" si="4"/>
        <v>4770000</v>
      </c>
      <c r="D91" s="70">
        <f t="shared" si="5"/>
        <v>7200000</v>
      </c>
      <c r="E91" s="70">
        <f t="shared" si="1"/>
        <v>11970000</v>
      </c>
      <c r="F91" s="70">
        <f t="shared" si="2"/>
        <v>6030000</v>
      </c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</row>
    <row r="92">
      <c r="A92" s="6"/>
      <c r="B92" s="69">
        <v>7.0</v>
      </c>
      <c r="C92" s="70">
        <f t="shared" si="4"/>
        <v>4823000</v>
      </c>
      <c r="D92" s="70">
        <f t="shared" si="5"/>
        <v>7280000</v>
      </c>
      <c r="E92" s="70">
        <f t="shared" si="1"/>
        <v>12103000</v>
      </c>
      <c r="F92" s="70">
        <f t="shared" si="2"/>
        <v>5897000</v>
      </c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</row>
    <row r="93">
      <c r="A93" s="6"/>
      <c r="B93" s="69">
        <v>8.0</v>
      </c>
      <c r="C93" s="70">
        <f t="shared" si="4"/>
        <v>4876000</v>
      </c>
      <c r="D93" s="70">
        <f t="shared" si="5"/>
        <v>7360000</v>
      </c>
      <c r="E93" s="70">
        <f t="shared" si="1"/>
        <v>12236000</v>
      </c>
      <c r="F93" s="70">
        <f t="shared" si="2"/>
        <v>5764000</v>
      </c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</row>
    <row r="94">
      <c r="A94" s="6"/>
      <c r="B94" s="69">
        <v>9.0</v>
      </c>
      <c r="C94" s="70">
        <f t="shared" si="4"/>
        <v>4929000</v>
      </c>
      <c r="D94" s="70">
        <f t="shared" si="5"/>
        <v>7440000</v>
      </c>
      <c r="E94" s="70">
        <f t="shared" si="1"/>
        <v>12369000</v>
      </c>
      <c r="F94" s="70">
        <f t="shared" si="2"/>
        <v>5631000</v>
      </c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</row>
    <row r="95">
      <c r="A95" s="6"/>
      <c r="B95" s="69">
        <v>10.0</v>
      </c>
      <c r="C95" s="70">
        <f t="shared" si="4"/>
        <v>4982000</v>
      </c>
      <c r="D95" s="70">
        <f t="shared" si="5"/>
        <v>7520000</v>
      </c>
      <c r="E95" s="70">
        <f t="shared" si="1"/>
        <v>12502000</v>
      </c>
      <c r="F95" s="70">
        <f t="shared" si="2"/>
        <v>5498000</v>
      </c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</row>
    <row r="96">
      <c r="A96" s="6"/>
      <c r="B96" s="69">
        <v>11.0</v>
      </c>
      <c r="C96" s="70">
        <f t="shared" si="4"/>
        <v>5035000</v>
      </c>
      <c r="D96" s="70">
        <f t="shared" si="5"/>
        <v>7600000</v>
      </c>
      <c r="E96" s="70">
        <f t="shared" si="1"/>
        <v>12635000</v>
      </c>
      <c r="F96" s="70">
        <f t="shared" si="2"/>
        <v>5365000</v>
      </c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</row>
    <row r="97">
      <c r="A97" s="9"/>
      <c r="B97" s="69">
        <v>12.0</v>
      </c>
      <c r="C97" s="70">
        <f t="shared" si="4"/>
        <v>5088000</v>
      </c>
      <c r="D97" s="70">
        <f t="shared" si="5"/>
        <v>7680000</v>
      </c>
      <c r="E97" s="70">
        <f t="shared" si="1"/>
        <v>12768000</v>
      </c>
      <c r="F97" s="70">
        <f t="shared" si="2"/>
        <v>5232000</v>
      </c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</row>
    <row r="98">
      <c r="A98" s="68">
        <v>2032.0</v>
      </c>
      <c r="B98" s="69">
        <v>1.0</v>
      </c>
      <c r="C98" s="70">
        <f t="shared" si="4"/>
        <v>5141000</v>
      </c>
      <c r="D98" s="70">
        <f t="shared" si="5"/>
        <v>7760000</v>
      </c>
      <c r="E98" s="70">
        <f t="shared" si="1"/>
        <v>12901000</v>
      </c>
      <c r="F98" s="70">
        <f t="shared" si="2"/>
        <v>5099000</v>
      </c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</row>
    <row r="99">
      <c r="A99" s="6"/>
      <c r="B99" s="69">
        <v>2.0</v>
      </c>
      <c r="C99" s="70">
        <f t="shared" si="4"/>
        <v>5194000</v>
      </c>
      <c r="D99" s="70">
        <f t="shared" si="5"/>
        <v>7840000</v>
      </c>
      <c r="E99" s="70">
        <f t="shared" si="1"/>
        <v>13034000</v>
      </c>
      <c r="F99" s="70">
        <f t="shared" si="2"/>
        <v>4966000</v>
      </c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</row>
    <row r="100">
      <c r="A100" s="6"/>
      <c r="B100" s="69">
        <v>3.0</v>
      </c>
      <c r="C100" s="70">
        <f t="shared" si="4"/>
        <v>5247000</v>
      </c>
      <c r="D100" s="70">
        <f t="shared" si="5"/>
        <v>7920000</v>
      </c>
      <c r="E100" s="70">
        <f t="shared" si="1"/>
        <v>13167000</v>
      </c>
      <c r="F100" s="70">
        <f t="shared" si="2"/>
        <v>4833000</v>
      </c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</row>
    <row r="101">
      <c r="A101" s="6"/>
      <c r="B101" s="69">
        <v>4.0</v>
      </c>
      <c r="C101" s="70">
        <f t="shared" si="4"/>
        <v>5300000</v>
      </c>
      <c r="D101" s="70">
        <f t="shared" si="5"/>
        <v>8000000</v>
      </c>
      <c r="E101" s="70">
        <f t="shared" si="1"/>
        <v>13300000</v>
      </c>
      <c r="F101" s="70">
        <f t="shared" si="2"/>
        <v>4700000</v>
      </c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</row>
    <row r="102">
      <c r="A102" s="6"/>
      <c r="B102" s="69">
        <v>5.0</v>
      </c>
      <c r="C102" s="70">
        <f t="shared" si="4"/>
        <v>5353000</v>
      </c>
      <c r="D102" s="70">
        <f t="shared" si="5"/>
        <v>8080000</v>
      </c>
      <c r="E102" s="70">
        <f t="shared" si="1"/>
        <v>13433000</v>
      </c>
      <c r="F102" s="70">
        <f t="shared" si="2"/>
        <v>4567000</v>
      </c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</row>
    <row r="103">
      <c r="A103" s="6"/>
      <c r="B103" s="69">
        <v>6.0</v>
      </c>
      <c r="C103" s="70">
        <f t="shared" si="4"/>
        <v>5406000</v>
      </c>
      <c r="D103" s="70">
        <f t="shared" si="5"/>
        <v>8160000</v>
      </c>
      <c r="E103" s="70">
        <f t="shared" si="1"/>
        <v>13566000</v>
      </c>
      <c r="F103" s="70">
        <f t="shared" si="2"/>
        <v>4434000</v>
      </c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</row>
    <row r="104">
      <c r="A104" s="6"/>
      <c r="B104" s="69">
        <v>7.0</v>
      </c>
      <c r="C104" s="70">
        <f t="shared" si="4"/>
        <v>5459000</v>
      </c>
      <c r="D104" s="70">
        <f t="shared" si="5"/>
        <v>8240000</v>
      </c>
      <c r="E104" s="70">
        <f t="shared" si="1"/>
        <v>13699000</v>
      </c>
      <c r="F104" s="70">
        <f t="shared" si="2"/>
        <v>4301000</v>
      </c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</row>
    <row r="105">
      <c r="A105" s="6"/>
      <c r="B105" s="69">
        <v>8.0</v>
      </c>
      <c r="C105" s="70">
        <f t="shared" si="4"/>
        <v>5512000</v>
      </c>
      <c r="D105" s="70">
        <f t="shared" si="5"/>
        <v>8320000</v>
      </c>
      <c r="E105" s="70">
        <f t="shared" si="1"/>
        <v>13832000</v>
      </c>
      <c r="F105" s="70">
        <f t="shared" si="2"/>
        <v>4168000</v>
      </c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</row>
    <row r="106">
      <c r="A106" s="6"/>
      <c r="B106" s="69">
        <v>9.0</v>
      </c>
      <c r="C106" s="70">
        <f t="shared" si="4"/>
        <v>5565000</v>
      </c>
      <c r="D106" s="70">
        <f t="shared" si="5"/>
        <v>8400000</v>
      </c>
      <c r="E106" s="70">
        <f t="shared" si="1"/>
        <v>13965000</v>
      </c>
      <c r="F106" s="70">
        <f t="shared" si="2"/>
        <v>4035000</v>
      </c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</row>
    <row r="107">
      <c r="A107" s="6"/>
      <c r="B107" s="69">
        <v>10.0</v>
      </c>
      <c r="C107" s="70">
        <f t="shared" si="4"/>
        <v>5618000</v>
      </c>
      <c r="D107" s="70">
        <f t="shared" si="5"/>
        <v>8480000</v>
      </c>
      <c r="E107" s="70">
        <f t="shared" si="1"/>
        <v>14098000</v>
      </c>
      <c r="F107" s="70">
        <f t="shared" si="2"/>
        <v>3902000</v>
      </c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</row>
    <row r="108">
      <c r="A108" s="6"/>
      <c r="B108" s="69">
        <v>11.0</v>
      </c>
      <c r="C108" s="70">
        <f t="shared" si="4"/>
        <v>5671000</v>
      </c>
      <c r="D108" s="70">
        <f t="shared" si="5"/>
        <v>8560000</v>
      </c>
      <c r="E108" s="70">
        <f t="shared" si="1"/>
        <v>14231000</v>
      </c>
      <c r="F108" s="70">
        <f t="shared" si="2"/>
        <v>3769000</v>
      </c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</row>
    <row r="109">
      <c r="A109" s="9"/>
      <c r="B109" s="69">
        <v>12.0</v>
      </c>
      <c r="C109" s="70">
        <f t="shared" si="4"/>
        <v>5724000</v>
      </c>
      <c r="D109" s="70">
        <f t="shared" si="5"/>
        <v>8640000</v>
      </c>
      <c r="E109" s="70">
        <f t="shared" si="1"/>
        <v>14364000</v>
      </c>
      <c r="F109" s="70">
        <f t="shared" si="2"/>
        <v>3636000</v>
      </c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</row>
    <row r="110">
      <c r="A110" s="68">
        <v>2033.0</v>
      </c>
      <c r="B110" s="69">
        <v>1.0</v>
      </c>
      <c r="C110" s="70">
        <f t="shared" si="4"/>
        <v>5777000</v>
      </c>
      <c r="D110" s="70">
        <f t="shared" si="5"/>
        <v>8720000</v>
      </c>
      <c r="E110" s="70">
        <f t="shared" si="1"/>
        <v>14497000</v>
      </c>
      <c r="F110" s="70">
        <f t="shared" si="2"/>
        <v>3503000</v>
      </c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</row>
    <row r="111">
      <c r="A111" s="6"/>
      <c r="B111" s="69">
        <v>2.0</v>
      </c>
      <c r="C111" s="70">
        <f t="shared" si="4"/>
        <v>5830000</v>
      </c>
      <c r="D111" s="70">
        <f t="shared" si="5"/>
        <v>8800000</v>
      </c>
      <c r="E111" s="70">
        <f t="shared" si="1"/>
        <v>14630000</v>
      </c>
      <c r="F111" s="70">
        <f t="shared" si="2"/>
        <v>3370000</v>
      </c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</row>
    <row r="112">
      <c r="A112" s="6"/>
      <c r="B112" s="69">
        <v>3.0</v>
      </c>
      <c r="C112" s="70">
        <f t="shared" si="4"/>
        <v>5883000</v>
      </c>
      <c r="D112" s="70">
        <f t="shared" si="5"/>
        <v>8880000</v>
      </c>
      <c r="E112" s="70">
        <f t="shared" si="1"/>
        <v>14763000</v>
      </c>
      <c r="F112" s="70">
        <f t="shared" si="2"/>
        <v>3237000</v>
      </c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</row>
    <row r="113">
      <c r="A113" s="6"/>
      <c r="B113" s="69">
        <v>4.0</v>
      </c>
      <c r="C113" s="70">
        <f t="shared" si="4"/>
        <v>5936000</v>
      </c>
      <c r="D113" s="70">
        <f t="shared" si="5"/>
        <v>8960000</v>
      </c>
      <c r="E113" s="70">
        <f t="shared" si="1"/>
        <v>14896000</v>
      </c>
      <c r="F113" s="70">
        <f t="shared" si="2"/>
        <v>3104000</v>
      </c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</row>
    <row r="114">
      <c r="A114" s="6"/>
      <c r="B114" s="69">
        <v>5.0</v>
      </c>
      <c r="C114" s="70">
        <f t="shared" si="4"/>
        <v>5989000</v>
      </c>
      <c r="D114" s="70">
        <f t="shared" si="5"/>
        <v>9040000</v>
      </c>
      <c r="E114" s="70">
        <f t="shared" si="1"/>
        <v>15029000</v>
      </c>
      <c r="F114" s="70">
        <f t="shared" si="2"/>
        <v>2971000</v>
      </c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</row>
    <row r="115">
      <c r="A115" s="6"/>
      <c r="B115" s="69">
        <v>6.0</v>
      </c>
      <c r="C115" s="70">
        <f t="shared" si="4"/>
        <v>6042000</v>
      </c>
      <c r="D115" s="70">
        <f t="shared" si="5"/>
        <v>9120000</v>
      </c>
      <c r="E115" s="70">
        <f t="shared" si="1"/>
        <v>15162000</v>
      </c>
      <c r="F115" s="70">
        <f t="shared" si="2"/>
        <v>2838000</v>
      </c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</row>
    <row r="116">
      <c r="A116" s="6"/>
      <c r="B116" s="69">
        <v>7.0</v>
      </c>
      <c r="C116" s="70">
        <f t="shared" si="4"/>
        <v>6095000</v>
      </c>
      <c r="D116" s="70">
        <f t="shared" si="5"/>
        <v>9200000</v>
      </c>
      <c r="E116" s="70">
        <f t="shared" si="1"/>
        <v>15295000</v>
      </c>
      <c r="F116" s="70">
        <f t="shared" si="2"/>
        <v>2705000</v>
      </c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</row>
    <row r="117">
      <c r="A117" s="6"/>
      <c r="B117" s="69">
        <v>8.0</v>
      </c>
      <c r="C117" s="70">
        <f t="shared" si="4"/>
        <v>6148000</v>
      </c>
      <c r="D117" s="70">
        <f t="shared" si="5"/>
        <v>9280000</v>
      </c>
      <c r="E117" s="70">
        <f t="shared" si="1"/>
        <v>15428000</v>
      </c>
      <c r="F117" s="70">
        <f t="shared" si="2"/>
        <v>2572000</v>
      </c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</row>
    <row r="118">
      <c r="A118" s="6"/>
      <c r="B118" s="69">
        <v>9.0</v>
      </c>
      <c r="C118" s="70">
        <f t="shared" si="4"/>
        <v>6201000</v>
      </c>
      <c r="D118" s="70">
        <f t="shared" si="5"/>
        <v>9360000</v>
      </c>
      <c r="E118" s="70">
        <f t="shared" si="1"/>
        <v>15561000</v>
      </c>
      <c r="F118" s="70">
        <f t="shared" si="2"/>
        <v>2439000</v>
      </c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</row>
    <row r="119">
      <c r="A119" s="6"/>
      <c r="B119" s="69">
        <v>10.0</v>
      </c>
      <c r="C119" s="70">
        <f t="shared" si="4"/>
        <v>6254000</v>
      </c>
      <c r="D119" s="70">
        <f t="shared" si="5"/>
        <v>9440000</v>
      </c>
      <c r="E119" s="70">
        <f t="shared" si="1"/>
        <v>15694000</v>
      </c>
      <c r="F119" s="70">
        <f t="shared" si="2"/>
        <v>2306000</v>
      </c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</row>
    <row r="120">
      <c r="A120" s="6"/>
      <c r="B120" s="69">
        <v>11.0</v>
      </c>
      <c r="C120" s="70">
        <f t="shared" si="4"/>
        <v>6307000</v>
      </c>
      <c r="D120" s="70">
        <f t="shared" si="5"/>
        <v>9520000</v>
      </c>
      <c r="E120" s="70">
        <f t="shared" si="1"/>
        <v>15827000</v>
      </c>
      <c r="F120" s="70">
        <f t="shared" si="2"/>
        <v>2173000</v>
      </c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</row>
    <row r="121">
      <c r="A121" s="9"/>
      <c r="B121" s="69">
        <v>12.0</v>
      </c>
      <c r="C121" s="70">
        <f t="shared" si="4"/>
        <v>6360000</v>
      </c>
      <c r="D121" s="70">
        <f t="shared" si="5"/>
        <v>9600000</v>
      </c>
      <c r="E121" s="70">
        <f t="shared" si="1"/>
        <v>15960000</v>
      </c>
      <c r="F121" s="70">
        <f t="shared" si="2"/>
        <v>2040000</v>
      </c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</row>
    <row r="122">
      <c r="A122" s="68">
        <v>2034.0</v>
      </c>
      <c r="B122" s="69">
        <v>1.0</v>
      </c>
      <c r="C122" s="70">
        <f t="shared" si="4"/>
        <v>6413000</v>
      </c>
      <c r="D122" s="70">
        <f t="shared" si="5"/>
        <v>9680000</v>
      </c>
      <c r="E122" s="70">
        <f t="shared" si="1"/>
        <v>16093000</v>
      </c>
      <c r="F122" s="70">
        <f t="shared" si="2"/>
        <v>1907000</v>
      </c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</row>
    <row r="123">
      <c r="A123" s="6"/>
      <c r="B123" s="69">
        <v>2.0</v>
      </c>
      <c r="C123" s="70">
        <f t="shared" si="4"/>
        <v>6466000</v>
      </c>
      <c r="D123" s="70">
        <f t="shared" si="5"/>
        <v>9760000</v>
      </c>
      <c r="E123" s="70">
        <f t="shared" si="1"/>
        <v>16226000</v>
      </c>
      <c r="F123" s="70">
        <f t="shared" si="2"/>
        <v>1774000</v>
      </c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</row>
    <row r="124">
      <c r="A124" s="6"/>
      <c r="B124" s="69">
        <v>3.0</v>
      </c>
      <c r="C124" s="70">
        <f t="shared" si="4"/>
        <v>6519000</v>
      </c>
      <c r="D124" s="70">
        <f t="shared" si="5"/>
        <v>9840000</v>
      </c>
      <c r="E124" s="70">
        <f t="shared" si="1"/>
        <v>16359000</v>
      </c>
      <c r="F124" s="70">
        <f t="shared" si="2"/>
        <v>1641000</v>
      </c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</row>
    <row r="125">
      <c r="A125" s="6"/>
      <c r="B125" s="69">
        <v>4.0</v>
      </c>
      <c r="C125" s="70">
        <f t="shared" si="4"/>
        <v>6572000</v>
      </c>
      <c r="D125" s="70">
        <f t="shared" si="5"/>
        <v>9920000</v>
      </c>
      <c r="E125" s="70">
        <f t="shared" si="1"/>
        <v>16492000</v>
      </c>
      <c r="F125" s="70">
        <f t="shared" si="2"/>
        <v>1508000</v>
      </c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</row>
    <row r="126">
      <c r="A126" s="6"/>
      <c r="B126" s="69">
        <v>5.0</v>
      </c>
      <c r="C126" s="70">
        <f t="shared" si="4"/>
        <v>6625000</v>
      </c>
      <c r="D126" s="70">
        <f t="shared" si="5"/>
        <v>10000000</v>
      </c>
      <c r="E126" s="70">
        <f t="shared" si="1"/>
        <v>16625000</v>
      </c>
      <c r="F126" s="70">
        <f t="shared" si="2"/>
        <v>1375000</v>
      </c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</row>
    <row r="127">
      <c r="A127" s="6"/>
      <c r="B127" s="69">
        <v>6.0</v>
      </c>
      <c r="C127" s="70">
        <f t="shared" si="4"/>
        <v>6678000</v>
      </c>
      <c r="D127" s="70">
        <f t="shared" si="5"/>
        <v>10080000</v>
      </c>
      <c r="E127" s="70">
        <f t="shared" si="1"/>
        <v>16758000</v>
      </c>
      <c r="F127" s="70">
        <f t="shared" si="2"/>
        <v>1242000</v>
      </c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</row>
    <row r="128">
      <c r="A128" s="6"/>
      <c r="B128" s="69">
        <v>7.0</v>
      </c>
      <c r="C128" s="70">
        <f t="shared" si="4"/>
        <v>6731000</v>
      </c>
      <c r="D128" s="70">
        <f t="shared" si="5"/>
        <v>10160000</v>
      </c>
      <c r="E128" s="70">
        <f t="shared" si="1"/>
        <v>16891000</v>
      </c>
      <c r="F128" s="70">
        <f t="shared" si="2"/>
        <v>1109000</v>
      </c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</row>
    <row r="129">
      <c r="A129" s="6"/>
      <c r="B129" s="69">
        <v>8.0</v>
      </c>
      <c r="C129" s="70">
        <f t="shared" si="4"/>
        <v>6784000</v>
      </c>
      <c r="D129" s="70">
        <f t="shared" si="5"/>
        <v>10240000</v>
      </c>
      <c r="E129" s="70">
        <f t="shared" si="1"/>
        <v>17024000</v>
      </c>
      <c r="F129" s="70">
        <f t="shared" si="2"/>
        <v>976000</v>
      </c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</row>
    <row r="130">
      <c r="A130" s="6"/>
      <c r="B130" s="69">
        <v>9.0</v>
      </c>
      <c r="C130" s="70">
        <f t="shared" si="4"/>
        <v>6837000</v>
      </c>
      <c r="D130" s="70">
        <f t="shared" si="5"/>
        <v>10320000</v>
      </c>
      <c r="E130" s="70">
        <f t="shared" si="1"/>
        <v>17157000</v>
      </c>
      <c r="F130" s="70">
        <f t="shared" si="2"/>
        <v>843000</v>
      </c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</row>
    <row r="131">
      <c r="A131" s="6"/>
      <c r="B131" s="69">
        <v>10.0</v>
      </c>
      <c r="C131" s="70">
        <f t="shared" si="4"/>
        <v>6890000</v>
      </c>
      <c r="D131" s="70">
        <f t="shared" si="5"/>
        <v>10400000</v>
      </c>
      <c r="E131" s="70">
        <f t="shared" si="1"/>
        <v>17290000</v>
      </c>
      <c r="F131" s="70">
        <f t="shared" si="2"/>
        <v>710000</v>
      </c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</row>
    <row r="132">
      <c r="A132" s="6"/>
      <c r="B132" s="69">
        <v>11.0</v>
      </c>
      <c r="C132" s="70">
        <f t="shared" si="4"/>
        <v>6943000</v>
      </c>
      <c r="D132" s="70">
        <f t="shared" si="5"/>
        <v>10480000</v>
      </c>
      <c r="E132" s="70">
        <f t="shared" si="1"/>
        <v>17423000</v>
      </c>
      <c r="F132" s="70">
        <f t="shared" si="2"/>
        <v>577000</v>
      </c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</row>
    <row r="133">
      <c r="A133" s="9"/>
      <c r="B133" s="69">
        <v>12.0</v>
      </c>
      <c r="C133" s="70">
        <f t="shared" si="4"/>
        <v>6996000</v>
      </c>
      <c r="D133" s="70">
        <f t="shared" si="5"/>
        <v>10560000</v>
      </c>
      <c r="E133" s="70">
        <f t="shared" si="1"/>
        <v>17556000</v>
      </c>
      <c r="F133" s="70">
        <f t="shared" si="2"/>
        <v>444000</v>
      </c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</row>
    <row r="134">
      <c r="A134" s="68">
        <v>2035.0</v>
      </c>
      <c r="B134" s="69">
        <v>1.0</v>
      </c>
      <c r="C134" s="70">
        <f t="shared" si="4"/>
        <v>7049000</v>
      </c>
      <c r="D134" s="70">
        <f t="shared" si="5"/>
        <v>10640000</v>
      </c>
      <c r="E134" s="70">
        <f t="shared" si="1"/>
        <v>17689000</v>
      </c>
      <c r="F134" s="70">
        <f t="shared" si="2"/>
        <v>311000</v>
      </c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</row>
    <row r="135">
      <c r="A135" s="6"/>
      <c r="B135" s="69">
        <v>2.0</v>
      </c>
      <c r="C135" s="70">
        <f t="shared" si="4"/>
        <v>7102000</v>
      </c>
      <c r="D135" s="70">
        <f t="shared" si="5"/>
        <v>10720000</v>
      </c>
      <c r="E135" s="70">
        <f t="shared" si="1"/>
        <v>17822000</v>
      </c>
      <c r="F135" s="70">
        <f t="shared" si="2"/>
        <v>178000</v>
      </c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</row>
    <row r="136">
      <c r="A136" s="6"/>
      <c r="B136" s="69">
        <v>3.0</v>
      </c>
      <c r="C136" s="70">
        <f t="shared" si="4"/>
        <v>7155000</v>
      </c>
      <c r="D136" s="70">
        <f t="shared" si="5"/>
        <v>10800000</v>
      </c>
      <c r="E136" s="70">
        <f t="shared" si="1"/>
        <v>17955000</v>
      </c>
      <c r="F136" s="70">
        <f t="shared" si="2"/>
        <v>45000</v>
      </c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</row>
    <row r="137">
      <c r="A137" s="9"/>
      <c r="B137" s="69">
        <v>4.0</v>
      </c>
      <c r="C137" s="70">
        <f>C136</f>
        <v>7155000</v>
      </c>
      <c r="D137" s="70">
        <f>F136+D136</f>
        <v>10845000</v>
      </c>
      <c r="E137" s="70">
        <f t="shared" si="1"/>
        <v>18000000</v>
      </c>
      <c r="F137" s="70">
        <f t="shared" si="2"/>
        <v>0</v>
      </c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</row>
  </sheetData>
  <mergeCells count="15">
    <mergeCell ref="A50:A61"/>
    <mergeCell ref="A62:A73"/>
    <mergeCell ref="A74:A85"/>
    <mergeCell ref="A86:A97"/>
    <mergeCell ref="A98:A109"/>
    <mergeCell ref="A110:A121"/>
    <mergeCell ref="A122:A133"/>
    <mergeCell ref="A134:A137"/>
    <mergeCell ref="G1:H1"/>
    <mergeCell ref="A2:A13"/>
    <mergeCell ref="G2:G3"/>
    <mergeCell ref="G4:H4"/>
    <mergeCell ref="A14:A25"/>
    <mergeCell ref="A26:A37"/>
    <mergeCell ref="A38:A49"/>
  </mergeCells>
  <drawing r:id="rId1"/>
</worksheet>
</file>